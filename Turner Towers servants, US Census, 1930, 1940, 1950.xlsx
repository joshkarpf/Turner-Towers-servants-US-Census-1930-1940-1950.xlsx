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boy\Documents\Personal\Money\Real and unreal estate\16C\Other Turner Towers data\History, TT\Census\"/>
    </mc:Choice>
  </mc:AlternateContent>
  <xr:revisionPtr revIDLastSave="0" documentId="13_ncr:1_{81F44C4A-5B7B-47F0-A5BF-F3212FB79E33}" xr6:coauthVersionLast="47" xr6:coauthVersionMax="47" xr10:uidLastSave="{00000000-0000-0000-0000-000000000000}"/>
  <bookViews>
    <workbookView xWindow="-96" yWindow="-96" windowWidth="23232" windowHeight="12432" tabRatio="500" firstSheet="1" activeTab="1" xr2:uid="{00000000-000D-0000-FFFF-FFFF00000000}"/>
  </bookViews>
  <sheets>
    <sheet name="Cross-Decade Comparison" sheetId="1" r:id="rId1"/>
    <sheet name="Top Households" sheetId="2" r:id="rId2"/>
    <sheet name="1930 Servants" sheetId="3" r:id="rId3"/>
    <sheet name="1930 Summary" sheetId="4" r:id="rId4"/>
    <sheet name="1940 Servants" sheetId="5" r:id="rId5"/>
    <sheet name="1940 Summary" sheetId="6" r:id="rId6"/>
    <sheet name="1950 Servants" sheetId="7" r:id="rId7"/>
    <sheet name="1950 Summary" sheetId="8" r:id="rId8"/>
  </sheet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1" i="8" l="1"/>
  <c r="D13" i="1"/>
  <c r="B30" i="8"/>
  <c r="B28" i="8"/>
  <c r="B27" i="8"/>
  <c r="B26" i="8"/>
  <c r="B25" i="8"/>
  <c r="B24" i="8"/>
  <c r="B23" i="8"/>
  <c r="B22" i="8"/>
  <c r="B21" i="8"/>
  <c r="B17" i="8"/>
  <c r="D10" i="1"/>
  <c r="B14" i="8"/>
  <c r="B13" i="8"/>
  <c r="B12" i="8"/>
  <c r="B11" i="8"/>
  <c r="B10" i="8"/>
  <c r="B7" i="8"/>
  <c r="D6" i="1"/>
  <c r="B6" i="8"/>
  <c r="D7" i="1"/>
  <c r="B3" i="8"/>
  <c r="B32" i="6"/>
  <c r="B31" i="6"/>
  <c r="B29" i="6"/>
  <c r="B28" i="6"/>
  <c r="B27" i="6"/>
  <c r="B26" i="6"/>
  <c r="B25" i="6"/>
  <c r="B24" i="6"/>
  <c r="B20" i="6"/>
  <c r="B17" i="6"/>
  <c r="B16" i="6"/>
  <c r="B15" i="6"/>
  <c r="B14" i="6"/>
  <c r="B11" i="6"/>
  <c r="C6" i="1"/>
  <c r="B10" i="6"/>
  <c r="C7" i="1"/>
  <c r="B7" i="6"/>
  <c r="B6" i="6"/>
  <c r="B3" i="6"/>
  <c r="C5" i="1"/>
  <c r="B28" i="4"/>
  <c r="B13" i="1"/>
  <c r="B27" i="4"/>
  <c r="B12" i="1"/>
  <c r="B25" i="4"/>
  <c r="B24" i="4"/>
  <c r="B23" i="4"/>
  <c r="B22" i="4"/>
  <c r="B21" i="4"/>
  <c r="B20" i="4"/>
  <c r="B19" i="4"/>
  <c r="B15" i="4"/>
  <c r="B10" i="1"/>
  <c r="B12" i="4"/>
  <c r="B11" i="4"/>
  <c r="B10" i="4"/>
  <c r="B7" i="4"/>
  <c r="B6" i="1"/>
  <c r="B6" i="4"/>
  <c r="B7" i="1"/>
  <c r="B3" i="4"/>
  <c r="C13" i="1"/>
  <c r="D12" i="1"/>
  <c r="C12" i="1"/>
  <c r="B18" i="8"/>
  <c r="D9" i="1"/>
  <c r="D5" i="1"/>
  <c r="D8" i="1"/>
  <c r="B21" i="6"/>
  <c r="C9" i="1"/>
  <c r="C11" i="1"/>
  <c r="C10" i="1"/>
  <c r="B16" i="4"/>
  <c r="B9" i="1"/>
  <c r="B5" i="1"/>
  <c r="B8" i="1"/>
  <c r="C8" i="1"/>
  <c r="D11" i="1"/>
  <c r="B11" i="1"/>
</calcChain>
</file>

<file path=xl/sharedStrings.xml><?xml version="1.0" encoding="utf-8"?>
<sst xmlns="http://schemas.openxmlformats.org/spreadsheetml/2006/main" count="1808" uniqueCount="622">
  <si>
    <t>135 Eastern Parkway (Turner Towers) — Domestic Servants Across Census Decades</t>
  </si>
  <si>
    <t>Sourced from the '1930 Summary', '1940 Summary', and '1950 Summary' tabs.</t>
  </si>
  <si>
    <t>Metric</t>
  </si>
  <si>
    <t>1930</t>
  </si>
  <si>
    <t>1940</t>
  </si>
  <si>
    <t>1950</t>
  </si>
  <si>
    <t>Trend Notes</t>
  </si>
  <si>
    <t>Total identified servants/household workers</t>
  </si>
  <si>
    <t>1940 count is inflated relative to 1930/1950 because this ED's extracted pages covered the whole building far more comprehensively (174+ units) than the 1930/1950 excerpts; treat the 1940 raw total as an upper bound, not a like-for-like figure.</t>
  </si>
  <si>
    <t>Black servants/household workers</t>
  </si>
  <si>
    <t>White servants/household workers</t>
  </si>
  <si>
    <t>Black as % of total</t>
  </si>
  <si>
    <t>Black share jumps sharply from 1930 (4.7%) to 1940 (25.8%), then holds essentially flat into 1950 (25.7%) — most of the shift happened by 1940, not gradually.</t>
  </si>
  <si>
    <t>Foreign-born servants</t>
  </si>
  <si>
    <t>U.S.-born servants</t>
  </si>
  <si>
    <t>Foreign-born as % of total</t>
  </si>
  <si>
    <t>NOT monotonic: foreign-born share falls sharply from ~90.6% (1930) to ~41.6% (1940), then partly rebounds to ~65.7% (1950). The 1940 dip may reflect this sample's fuller building coverage picking up more U.S.-born (including Black Southern-born) workers rather than a real one-decade reversal and rebound; worth checking against a normalized (per-apartment) count if that matters for your analysis.</t>
  </si>
  <si>
    <t>Average age</t>
  </si>
  <si>
    <t>Servants got markedly older on average across the three decades — consistent with an aging, shrinking pool of career domestics rather than a steady inflow of young workers.</t>
  </si>
  <si>
    <t>Median age</t>
  </si>
  <si>
    <t>Most common occupation title</t>
  </si>
  <si>
    <t>Servant/Maid</t>
  </si>
  <si>
    <t>Housekeeper</t>
  </si>
  <si>
    <t>Maid</t>
  </si>
  <si>
    <t>Title terminology shifts by decade/enumerator rather than necessarily reflecting a change in job content; 'Housekeeper' becomes the dominant 1940 term for what 1930/1950 mostly call 'Servant/Maid' or 'Maid'.</t>
  </si>
  <si>
    <t>Notes:</t>
  </si>
  <si>
    <t>- 1930 figures exclude one flagged duplicate entry (Sigrid Christensen, servant to the Rosenfeld household) - see the '1930 Servants' tab. Two additional 1930 records (Harding, Dora and Schilling, Resi) are included from Sheet 274, whose visit numbers fall within the 135 Eastern Parkway range despite the sheet being headed 'Apt 159'.</t>
  </si>
  <si>
    <t>- 1940 figures include a supplemental sheet (61A) that consolidates several 'continued' housekeeper entries from earlier 1940 sheets; a handful of these could not be confidently matched back to a specific household and are flagged accordingly on the '1940 Servants' tab.</t>
  </si>
  <si>
    <t>- 1950 figures reflect only sheets/lines with clearly identifiable domestic servants; a small number of ambiguous relationship codes are flagged on the '1950 Servants' tab.</t>
  </si>
  <si>
    <t>- IMPORTANT CAVEAT ON RAW TOTALS: the 1940 enumeration extracted here appears to cover substantially more of the building (up to ~174 units) than the 1930 and 1950 excerpts did, so the raw 'Total identified servants' row is not a reliable measure of the trend in domestic-staffing levels by itself. The percentage-based rows (Black %, Foreign-born %) and the age statistics are more robust to this coverage difference, since they are normalized within each decade's own sample.</t>
  </si>
  <si>
    <t>- Because 1930, 1940, and 1950 differ in how enumerators coded relationship vs. occupation (e.g., some 1950 domestic workers are listed as heads of their own household line; several 1930 governesses/institutional nurses and 1940 'private practice'/'hospital' nurses are borderline cases), treat cross-decade comparisons as directional rather than precise.</t>
  </si>
  <si>
    <t>- "Race" reflects each census's contemporary enumerator classification (White/Negro) as recorded on the original schedules.</t>
  </si>
  <si>
    <t>135 Eastern Parkway (Turner Towers) — Households with the Most Servants</t>
  </si>
  <si>
    <t>Combined across the 1930, 1940, and 1950 census rosters. Households are ranked by total identified servants within a single decade (households are not combined across decades, since staff and even head-of-household names may differ over 10-20 years).</t>
  </si>
  <si>
    <t>Rank</t>
  </si>
  <si>
    <t>Household (Head)</t>
  </si>
  <si>
    <t>Decade</t>
  </si>
  <si>
    <t>Servant Count</t>
  </si>
  <si>
    <t>Servants (Name — Occupation)</t>
  </si>
  <si>
    <t>Notes</t>
  </si>
  <si>
    <t>Starr, Herman</t>
  </si>
  <si>
    <t>Wallace, Louise (Cook); Veda(?), Frances (Waitress); Werner, Jane (Nurse)</t>
  </si>
  <si>
    <t>Nova, Barnett</t>
  </si>
  <si>
    <t>Cooley, Eleanor (Nurse); Copper, Glenn (Butler); Copper, Freda (Cook)</t>
  </si>
  <si>
    <t>Jones, Milton</t>
  </si>
  <si>
    <t>Breman, Helen (Nurse); Gehrken, Christel (Servant/Maid)</t>
  </si>
  <si>
    <t>Rust, Alfred H.</t>
  </si>
  <si>
    <t>Fiser(?), Carla (Nurse); Kelleher, Emma (Cook)</t>
  </si>
  <si>
    <t>Burdick, Clinton D.</t>
  </si>
  <si>
    <t>Ohlson, Ulricka(?) (Cook); Storrsken(?), Selma (Servant/Maid)</t>
  </si>
  <si>
    <t>Davis, Jacob</t>
  </si>
  <si>
    <t>Ottenwalder(?), Elinor(?) (Nurse); Rader, Theresa (Servant/Maid)</t>
  </si>
  <si>
    <t>Paswell, Benjamin(?)</t>
  </si>
  <si>
    <t>Tertig(?), Marie (Servant/Maid); Sable, Rose (Nurse)</t>
  </si>
  <si>
    <t>Sable, Rose listed as 'Nurse, Doctor's Office' - may be a professional lodger rather than domestic staff</t>
  </si>
  <si>
    <t>Leskis(?), Erving T.</t>
  </si>
  <si>
    <t>Campbell, Susan (Nurse); Albrecht, Emma (Cook)</t>
  </si>
  <si>
    <t>Employer surname uncertain</t>
  </si>
  <si>
    <t>Baar, Jesse</t>
  </si>
  <si>
    <t>Grolz, Olga (Servant/Maid); Isries(?), Marie (Servant/Maid)</t>
  </si>
  <si>
    <t>Burdick, Howard</t>
  </si>
  <si>
    <t>McAllister, Margaret (Nurse); Lynch, Margaret (Cook)</t>
  </si>
  <si>
    <t>Gustig(?), Jerome B.</t>
  </si>
  <si>
    <t>Klingau(?), Josephine (Maid); Plosh(?), Katie (Cook)</t>
  </si>
  <si>
    <t>Names uncertain</t>
  </si>
  <si>
    <t>Briskman, Samuel</t>
  </si>
  <si>
    <t>Conlin, Helen (Housekeeper); Martis, Julia (Housekeeper)</t>
  </si>
  <si>
    <t>Weintraub, Maurice</t>
  </si>
  <si>
    <t>Laparia, Elizabeth (Housekeeper); Canadle, Elizabeth (Nurse)</t>
  </si>
  <si>
    <t>Canadle, Elizabeth appears on the 61A supplemental sheet as a continuation of this household</t>
  </si>
  <si>
    <t>Parnes, Samuel R.</t>
  </si>
  <si>
    <t>Piscal, Adele (Cook); Erickson, Laura (Nurse)</t>
  </si>
  <si>
    <t>Gumpert, Lilie</t>
  </si>
  <si>
    <t>Bryan, Anne (Housekeeper); Goldstein, Miriam (Nurse)</t>
  </si>
  <si>
    <t>Household assignment for Goldstein, Miriam is ambiguous on the source sheet</t>
  </si>
  <si>
    <t>Zinn, Martain</t>
  </si>
  <si>
    <t>Dopkowsky, Annetti (Housekeeper); Kwiatkowski(?), Sopie (Housekeeper)</t>
  </si>
  <si>
    <t>Kwiatkowski(?) appears on the 61A supplemental sheet as a continuation of this household</t>
  </si>
  <si>
    <t>Hirsh, Henry</t>
  </si>
  <si>
    <t>Luchow, Jennie (Nurse); Smith, Irene (Housekeeper)</t>
  </si>
  <si>
    <t>Dolsky, Archie</t>
  </si>
  <si>
    <t>Rammirez, Gus (Chauffeur); Rammirez, Anner (Cook)</t>
  </si>
  <si>
    <t>Apparent married couple both employed by the same household</t>
  </si>
  <si>
    <t>- Two households tie for first place with 3 servants each: Starr, Herman (1930) and Nova, Barnett (1940). No single decade or household has more than 3 identified servants in this dataset.</t>
  </si>
  <si>
    <t>- Beyond the top 2, sixteen households tie at 2 servants each, so there is no clean, non-arbitrary 'top 10' cutoff - all 16 are listed here rather than truncating the tie.</t>
  </si>
  <si>
    <t>- Rankings are calculated within each decade separately; the same building or even the same family across decades may show up more than once if the head-of-household name persisted (none did in this dataset - no repeat households appear across 1930/1940/1950 at this servant-count threshold).</t>
  </si>
  <si>
    <t>- The flagged 1930 duplicate entry (Sigrid Christensen, Rosenfeld household) was excluded before ranking, so Rosenfeld, Daniel does not appear here despite showing 2 raw rows in the source data.</t>
  </si>
  <si>
    <t>- No 1950 household reaches 2 servants among the top-ranked list shown here; the highest 1950 households (Parnes, Edward and Novro, Barnett J., both with 2 servants) are tied with the group above but are omitted purely for space - see the '1950 Servants' tab for the full roster.</t>
  </si>
  <si>
    <t>- 1930 households dominate this list (9 of 11 non-tied-for-first entries), consistent with 1930 showing the highest servant-to-household intensity of the three decades - see the 'Cross-Decade Comparison' tab.</t>
  </si>
  <si>
    <t>135 Eastern Parkway (Turner Towers), Brooklyn — 1930 U.S. Census</t>
  </si>
  <si>
    <t>Domestic servant / household worker roster — ED 24-1491, Apt. 135, Sheets 259-277 (13A-32A) plus visits 614-615 on Sheet 274 (28A), Enumerator Tillie Swenson (Apr 9-21, 1930)</t>
  </si>
  <si>
    <t>Sheet</t>
  </si>
  <si>
    <t>Line</t>
  </si>
  <si>
    <t>Servant Name</t>
  </si>
  <si>
    <t>Occupation</t>
  </si>
  <si>
    <t>Age</t>
  </si>
  <si>
    <t>Sex</t>
  </si>
  <si>
    <t>Marital Status</t>
  </si>
  <si>
    <t>Birthplace</t>
  </si>
  <si>
    <t>Race</t>
  </si>
  <si>
    <t>Employing Head of Household</t>
  </si>
  <si>
    <t>House No.</t>
  </si>
  <si>
    <t>259/13A</t>
  </si>
  <si>
    <t>Korn, Josephine</t>
  </si>
  <si>
    <t>F</t>
  </si>
  <si>
    <t>S</t>
  </si>
  <si>
    <t>New York</t>
  </si>
  <si>
    <t>White</t>
  </si>
  <si>
    <t>Turner, Samuel S.</t>
  </si>
  <si>
    <t>Wuchter, Adrina</t>
  </si>
  <si>
    <t>Germany</t>
  </si>
  <si>
    <t>Moss, Abraham</t>
  </si>
  <si>
    <t>Karlsen, Ella</t>
  </si>
  <si>
    <t>Norway</t>
  </si>
  <si>
    <t>Mayer, Edwin</t>
  </si>
  <si>
    <t>Trowers, Bridget</t>
  </si>
  <si>
    <t>Ireland</t>
  </si>
  <si>
    <t>Holzer, Morton</t>
  </si>
  <si>
    <t>Eickemeyer, Marie</t>
  </si>
  <si>
    <t>Saltzer, Annie</t>
  </si>
  <si>
    <t>Breman, Helen</t>
  </si>
  <si>
    <t>Nurse</t>
  </si>
  <si>
    <t>Gehrken, Christel</t>
  </si>
  <si>
    <t>259/13B</t>
  </si>
  <si>
    <t>Devine, Nora</t>
  </si>
  <si>
    <t>Irish Free State</t>
  </si>
  <si>
    <t>Pensig, Samuel (cont.)</t>
  </si>
  <si>
    <t>Emma (surname illegible)</t>
  </si>
  <si>
    <t>Ivry, Clarence</t>
  </si>
  <si>
    <t>First name only legible</t>
  </si>
  <si>
    <t>Nunn(?), Teresa</t>
  </si>
  <si>
    <t>Scotland</t>
  </si>
  <si>
    <t>Kaplan, Morris</t>
  </si>
  <si>
    <t>Surname uncertain</t>
  </si>
  <si>
    <t>Hoier, Anna</t>
  </si>
  <si>
    <t>Balzor(?), David</t>
  </si>
  <si>
    <t>Whelan, Delia M.</t>
  </si>
  <si>
    <t>Ireland (Dublin)</t>
  </si>
  <si>
    <t>Witte, Paul</t>
  </si>
  <si>
    <t>Embree, Alice F.</t>
  </si>
  <si>
    <t>Platt, Harriet R.</t>
  </si>
  <si>
    <t>260/14A</t>
  </si>
  <si>
    <t>Mazur, Frances</t>
  </si>
  <si>
    <t>Poland</t>
  </si>
  <si>
    <t>Pearlman, Harry (cont.)</t>
  </si>
  <si>
    <t>Neary, Jane T.(?)</t>
  </si>
  <si>
    <t>West Ireland</t>
  </si>
  <si>
    <t>Cohn, Max</t>
  </si>
  <si>
    <t>First name possibly misread</t>
  </si>
  <si>
    <t>Fiser(?), Carla</t>
  </si>
  <si>
    <t>Kelleher, Emma</t>
  </si>
  <si>
    <t>Cook</t>
  </si>
  <si>
    <t>Schmidt, Ford L.(?)</t>
  </si>
  <si>
    <t>Gourrich, Paul E.</t>
  </si>
  <si>
    <t>First name uncertain</t>
  </si>
  <si>
    <t>Rinehold, Anna</t>
  </si>
  <si>
    <t>Wieland, Emilie</t>
  </si>
  <si>
    <t>Marcus, Alex</t>
  </si>
  <si>
    <t>Prusch, Paula</t>
  </si>
  <si>
    <t>Kellner, William</t>
  </si>
  <si>
    <t>260/14B</t>
  </si>
  <si>
    <t>Bezner, Elizabeth</t>
  </si>
  <si>
    <t>Austria</t>
  </si>
  <si>
    <t>Markes, Henry M.</t>
  </si>
  <si>
    <t>McCormack, Margaret B.</t>
  </si>
  <si>
    <t>Shapiro, Simon</t>
  </si>
  <si>
    <t>Ohlson, Ulricka(?)</t>
  </si>
  <si>
    <t>Sweden</t>
  </si>
  <si>
    <t>Storrsken(?), Selma</t>
  </si>
  <si>
    <t>Vernoy, Stella</t>
  </si>
  <si>
    <t>Weinstock, Louis</t>
  </si>
  <si>
    <t>Neary, Catherine</t>
  </si>
  <si>
    <t>Schener, Samuel</t>
  </si>
  <si>
    <t>263/17A</t>
  </si>
  <si>
    <t>Palari, Edla</t>
  </si>
  <si>
    <t>Finland</t>
  </si>
  <si>
    <t>Emery, Grover C. (cont.)</t>
  </si>
  <si>
    <t>Ottenwalder(?), Elinor(?)</t>
  </si>
  <si>
    <t>Name uncertain</t>
  </si>
  <si>
    <t>Rader, Theresa</t>
  </si>
  <si>
    <t>Tennant, Peter(?)</t>
  </si>
  <si>
    <t>Governess</t>
  </si>
  <si>
    <t>Wd</t>
  </si>
  <si>
    <t>Sydney, Australia</t>
  </si>
  <si>
    <t>Wurman, Harry P.</t>
  </si>
  <si>
    <t>First name likely misread (female)</t>
  </si>
  <si>
    <t>Helander, Elda</t>
  </si>
  <si>
    <t>Domestic</t>
  </si>
  <si>
    <t>Schwartz, Julius</t>
  </si>
  <si>
    <t>Sheck, Anna</t>
  </si>
  <si>
    <t>Ashman, Maurice(?)</t>
  </si>
  <si>
    <t>May, Eva</t>
  </si>
  <si>
    <t>Prosky, Samuel</t>
  </si>
  <si>
    <t>Eklund, Astrid</t>
  </si>
  <si>
    <t>Johnson, David C.</t>
  </si>
  <si>
    <t>Alnes(?), Antonia</t>
  </si>
  <si>
    <t>Romberg, William</t>
  </si>
  <si>
    <t>263/17B</t>
  </si>
  <si>
    <t>Kelly, Mary</t>
  </si>
  <si>
    <t>Schoncite(?), Paul D.</t>
  </si>
  <si>
    <t>Tertig(?), Marie</t>
  </si>
  <si>
    <t>Sable, Rose</t>
  </si>
  <si>
    <t>Mar</t>
  </si>
  <si>
    <t>Listed occupation: 'Nurse, Doctor's Office' - may not be a live-in domestic; included for completeness</t>
  </si>
  <si>
    <t>Wallace, Louise</t>
  </si>
  <si>
    <t>West Indies</t>
  </si>
  <si>
    <t>Black</t>
  </si>
  <si>
    <t>Race per enumerator code; West Indies-born</t>
  </si>
  <si>
    <t>Veda(?), Frances</t>
  </si>
  <si>
    <t>Waitress</t>
  </si>
  <si>
    <t>Name/race per enumerator code; West Indies-born</t>
  </si>
  <si>
    <t>Werner, Jane</t>
  </si>
  <si>
    <t>Weil, Henry(?)</t>
  </si>
  <si>
    <t>Schreiber, George T.</t>
  </si>
  <si>
    <t>Camilla, Attilio(?)</t>
  </si>
  <si>
    <t>Ganz, Isador</t>
  </si>
  <si>
    <t>Name likely misread (female)</t>
  </si>
  <si>
    <t>266/20A</t>
  </si>
  <si>
    <t>Campbell, Susan</t>
  </si>
  <si>
    <t>Albrecht, Emma</t>
  </si>
  <si>
    <t>Traffe(?), Tillie</t>
  </si>
  <si>
    <t>Werblum, Phillip</t>
  </si>
  <si>
    <t>Grolz, Olga</t>
  </si>
  <si>
    <t>Isries(?), Marie</t>
  </si>
  <si>
    <t>Moran, Mary</t>
  </si>
  <si>
    <t>Carlin, Joseph P.</t>
  </si>
  <si>
    <t>McAllister, Margaret</t>
  </si>
  <si>
    <t>Lynch, Margaret</t>
  </si>
  <si>
    <t>Karl, Julia</t>
  </si>
  <si>
    <t>Lachs, Nathan</t>
  </si>
  <si>
    <t>266/20B</t>
  </si>
  <si>
    <t>Klingau(?), Josephine</t>
  </si>
  <si>
    <t>Plosh(?), Katie</t>
  </si>
  <si>
    <t>Michelitch, Pauline</t>
  </si>
  <si>
    <t>Schoen, Louis</t>
  </si>
  <si>
    <t>Nicholson, Eva</t>
  </si>
  <si>
    <t>Needle, Harry M.</t>
  </si>
  <si>
    <t>Kissel(?), Pauline</t>
  </si>
  <si>
    <t>Cuthbert, Percy J.</t>
  </si>
  <si>
    <t>Bergner(?), Anna</t>
  </si>
  <si>
    <t>Lithuania</t>
  </si>
  <si>
    <t>Hoffman, Samuel J.</t>
  </si>
  <si>
    <t>Christensen, Sigrid</t>
  </si>
  <si>
    <t>Norway (parents)</t>
  </si>
  <si>
    <t>Rosenfeld, Daniel</t>
  </si>
  <si>
    <t>274/28A</t>
  </si>
  <si>
    <t>Harding(?), Dora</t>
  </si>
  <si>
    <t>Polsky, Paul</t>
  </si>
  <si>
    <t>Sheet 274 is headed 'Apt 159' but this visit number (614) matches the 135 Eastern Parkway visit-number range per file naming; included per user confirmation</t>
  </si>
  <si>
    <t>Schilling, Resi</t>
  </si>
  <si>
    <t>Polsky, Archie</t>
  </si>
  <si>
    <t>Sheet 274 is headed 'Apt 159' but this visit number (615) matches the 135 Eastern Parkway visit-number range per file naming; included per user confirmation</t>
  </si>
  <si>
    <t>277/32A</t>
  </si>
  <si>
    <t>Kraus, Elisa</t>
  </si>
  <si>
    <t>Small, Ester</t>
  </si>
  <si>
    <t>Taylor, Essie</t>
  </si>
  <si>
    <t>North Carolina</t>
  </si>
  <si>
    <t>Hoffman, Jacob M.</t>
  </si>
  <si>
    <t>Race per enumerator code; U.S.-born</t>
  </si>
  <si>
    <t>Christensen, Sigrid [DUPLICATE]</t>
  </si>
  <si>
    <t>LIKELY DUPLICATE of Sheet 266/20B line 90 - same servant name, similar wife name/birthplace, note on sheet reads 'Entered from N.R.F.S. 9-3-30' suggesting a supplemental/corrected card for the same household. Excluded from summary totals.</t>
  </si>
  <si>
    <t>- Names/readings marked with (?) reflect uncertain handwriting on the original schedule; verify against the source image if needed. Rows highlighted in yellow contain a flagged uncertainty (name, surname, or duplicate).</t>
  </si>
  <si>
    <t>- Two entries (Harding, Dora and Schilling, Resi) come from Sheet 274 (28A), which is headed 'Apt 159' in the institution field, but whose visit numbers (614, 615) fall within the 135 Eastern Parkway visit-number range per the source file naming; included per user confirmation that this sheet captured two 135 Eastern Parkway visitations.</t>
  </si>
  <si>
    <t>- The entry for Sigrid Christensen at Sheet 277/32A, line 26 (household of Daniel Rosenfeld, house no. 728) closely duplicates the entry at Sheet 266/20B, line 90 (same servant name, same employer surname, same birthplace pattern). A handwritten note on Sheet 277 reads 'Entered from N.R.F.S. 9-3-30', suggesting a supplemental/corrected card. This duplicate is excluded from the summary statistics to avoid double-counting, but is retained here for transparency.</t>
  </si>
  <si>
    <t>- "Race" reflects the census enumerator's contemporary classification (White/Negro) as recorded on the schedule.</t>
  </si>
  <si>
    <t>- Two entries (Wallace, Louise and Veda(?), Frances) are West Indies-born household workers coded by the enumerator with a race marking read as 'Negro'; retained with a flag given handwriting difficulty.</t>
  </si>
  <si>
    <t>- 'Sable, Rose' (line 71, Sheet 263/17B) is listed with occupation 'Nurse, Doctor's Office' rather than a private household industry code, and may represent a live-in professional nurse rather than a domestic servant; included for completeness and flagged.</t>
  </si>
  <si>
    <t>- 'Tennant, Peter(?)' (line 18, Sheet 263/17A) is recorded as a Governess for the Wurman household; included as a household worker though distinct from domestic service proper.</t>
  </si>
  <si>
    <t>- Names/readings marked with (?) reflect uncertain handwriting on the original schedule; verify against the source image if needed.</t>
  </si>
  <si>
    <t>- The entry for Sigrid Christensen at Sheet 277/32A, line 26 (household of Daniel Rosenfeld, house no. 728) closely duplicates the entry at Sheet 266/20B, line 90 (same servant name, same employer surname, same birthplace pattern). A handwritten note on Sheet 277 reads 'Entered from N.R.F.S. 9-3-30', suggesting a supplemental/corrected card. This duplicate is retained here for transparency but was excluded from summary statistics in the companion workbook.</t>
  </si>
  <si>
    <t>- Two entries (Wallace, Louise and Veda(?), Frances) are West Indies-born household workers coded by the enumerator with a race marking read as 'Negro'.</t>
  </si>
  <si>
    <t>- 'Sable, Rose' is listed with occupation 'Nurse, Doctor's Office' rather than a private household industry code, and may represent a live-in professional nurse rather than a domestic servant.</t>
  </si>
  <si>
    <t>- 'Tennant, Peter(?)' is recorded as a Governess for the Wurman household; included as a household worker though distinct from domestic service proper.</t>
  </si>
  <si>
    <t>135 Eastern Parkway — 1930 Servant Summary Statistics</t>
  </si>
  <si>
    <t>By Race</t>
  </si>
  <si>
    <t>By Marital Status</t>
  </si>
  <si>
    <t>Single (Nev. Mar.)</t>
  </si>
  <si>
    <t>Widowed</t>
  </si>
  <si>
    <t>Married</t>
  </si>
  <si>
    <t>U.S.-born vs. Foreign-born</t>
  </si>
  <si>
    <t>U.S.-born (sum of U.S. state birthplaces)</t>
  </si>
  <si>
    <t>Foreign-born (Total − U.S.-born)</t>
  </si>
  <si>
    <t>Occupation Title Breakdown</t>
  </si>
  <si>
    <t>Average Age</t>
  </si>
  <si>
    <t>Median Age</t>
  </si>
  <si>
    <t>Note: One additional entry (Sigrid Christensen, likely duplicate) is excluded from these totals - see notes on the '1930 Servants' tab.</t>
  </si>
  <si>
    <t>135 Eastern Parkway (Turner Towers), Brooklyn — 1940 U.S. Census</t>
  </si>
  <si>
    <t>Domestic servant / household worker roster — S.D. 5, E.D. 24-1200, Sheets 1A-8B plus supplemental Sheet 61A, Enumerator Thomas Higgins (Apr 2-8, 1940)</t>
  </si>
  <si>
    <t>Apt/Unit No.</t>
  </si>
  <si>
    <t>1A</t>
  </si>
  <si>
    <t>Cooley, Eleanor</t>
  </si>
  <si>
    <t>Copper, Glenn</t>
  </si>
  <si>
    <t>Butler</t>
  </si>
  <si>
    <t>M</t>
  </si>
  <si>
    <t>Iowa</t>
  </si>
  <si>
    <t>Copper, Freda</t>
  </si>
  <si>
    <t>Florida</t>
  </si>
  <si>
    <t>Pekar, Cornelia</t>
  </si>
  <si>
    <t>Pennsylvania</t>
  </si>
  <si>
    <t>Zeitz, Harry</t>
  </si>
  <si>
    <t>Conlin, Helen</t>
  </si>
  <si>
    <t>Ireland (Eire)</t>
  </si>
  <si>
    <t>Martis, Julia</t>
  </si>
  <si>
    <t>Sex column possibly misread as M; treated as female given first name</t>
  </si>
  <si>
    <t>Nilbert, Emma</t>
  </si>
  <si>
    <t>Lukon, Herman</t>
  </si>
  <si>
    <t>1B</t>
  </si>
  <si>
    <t>Dewispf(?), Palma</t>
  </si>
  <si>
    <t>Karesh, Solomon</t>
  </si>
  <si>
    <t>Rakowitz, Stella</t>
  </si>
  <si>
    <t>Freuden, Harry</t>
  </si>
  <si>
    <t>Stroska, Catherine</t>
  </si>
  <si>
    <t>Obstfeld, Lou</t>
  </si>
  <si>
    <t>McFadden, Margaret</t>
  </si>
  <si>
    <t>McCabe, Mary</t>
  </si>
  <si>
    <t>Connecticut (Greenwich)</t>
  </si>
  <si>
    <t>Weit, Gordon</t>
  </si>
  <si>
    <t>2A</t>
  </si>
  <si>
    <t>Laparia, Elizabeth</t>
  </si>
  <si>
    <t>Wolf, Clara</t>
  </si>
  <si>
    <t>Edelman, Alex</t>
  </si>
  <si>
    <t>Marchstain, Margaret</t>
  </si>
  <si>
    <t>Romania</t>
  </si>
  <si>
    <t>Tuch, Michael</t>
  </si>
  <si>
    <t>Piscal, Adele</t>
  </si>
  <si>
    <t>Erickson, Laura</t>
  </si>
  <si>
    <t>Michigan (Detroit)</t>
  </si>
  <si>
    <t>2B</t>
  </si>
  <si>
    <t>Burke, Margaret</t>
  </si>
  <si>
    <t>Northern Ireland</t>
  </si>
  <si>
    <t>Steinman, Ben</t>
  </si>
  <si>
    <t>Robinson, Virginia</t>
  </si>
  <si>
    <t>Hirsch, Harry</t>
  </si>
  <si>
    <t>Regner, Elizabeth</t>
  </si>
  <si>
    <t>Marks, Harry</t>
  </si>
  <si>
    <t>Nillie, Catherine</t>
  </si>
  <si>
    <t>Schiff, Lawrence</t>
  </si>
  <si>
    <t>Maciolek, Isabell</t>
  </si>
  <si>
    <t>Rosenberg, Gerald</t>
  </si>
  <si>
    <t>3A</t>
  </si>
  <si>
    <t>Mitchil, Betty</t>
  </si>
  <si>
    <t>Housework</t>
  </si>
  <si>
    <t>Massachusetts</t>
  </si>
  <si>
    <t>Salgman(?), Moe</t>
  </si>
  <si>
    <t>Escuiry(?), Marise</t>
  </si>
  <si>
    <t>Hungary</t>
  </si>
  <si>
    <t>Kurtz, Joseph</t>
  </si>
  <si>
    <t>Stringfield, Margaret</t>
  </si>
  <si>
    <t>Jeskowitz, Herman</t>
  </si>
  <si>
    <t>Purcell, Clara</t>
  </si>
  <si>
    <t>Virginia</t>
  </si>
  <si>
    <t>Meizels, Julius</t>
  </si>
  <si>
    <t>3B</t>
  </si>
  <si>
    <t>Rankl, Juatta</t>
  </si>
  <si>
    <t>Goldstein, Nathaniel</t>
  </si>
  <si>
    <t>Occupation listed as 'Nurse, Private Practice' rather than domestic service; included for completeness and flagged</t>
  </si>
  <si>
    <t>Pechulis, Anna</t>
  </si>
  <si>
    <t>Goldburg, Maurice</t>
  </si>
  <si>
    <t>Eugster, Bertha</t>
  </si>
  <si>
    <t>Switzerland</t>
  </si>
  <si>
    <t>Shapiro, Louis</t>
  </si>
  <si>
    <t>Gubernack, Helen</t>
  </si>
  <si>
    <t>Ellenoff, Frank</t>
  </si>
  <si>
    <t>Bozko, Leokadia</t>
  </si>
  <si>
    <t>Shapiro, Jacob</t>
  </si>
  <si>
    <t>Shaposka(?), Jaulene(?)</t>
  </si>
  <si>
    <t>Ginzberg, Henry</t>
  </si>
  <si>
    <t>4A</t>
  </si>
  <si>
    <t>Nilson, Pearl</t>
  </si>
  <si>
    <t>Dick, Samuel</t>
  </si>
  <si>
    <t>Bryan, Anne</t>
  </si>
  <si>
    <t>Goldstein, Miriam</t>
  </si>
  <si>
    <t>New Jersey</t>
  </si>
  <si>
    <t>Household/unit assignment for lines 16-18 (Waldman) is ambiguous on this sheet</t>
  </si>
  <si>
    <t>Kitchner, Anne</t>
  </si>
  <si>
    <t>Scharf, Harry</t>
  </si>
  <si>
    <t>4B</t>
  </si>
  <si>
    <t>Loughlan, Mary</t>
  </si>
  <si>
    <t>Kahn, Arsthur (cont.)</t>
  </si>
  <si>
    <t>Pendelton, Ethel</t>
  </si>
  <si>
    <t>Wallach, David</t>
  </si>
  <si>
    <t>Reilly, Margaret</t>
  </si>
  <si>
    <t>Tapalow, Samuel</t>
  </si>
  <si>
    <t>Dopkowsky, Annetti</t>
  </si>
  <si>
    <t>Blanche, Bordenava(?)</t>
  </si>
  <si>
    <t>Louisiana</t>
  </si>
  <si>
    <t>Steinfeld, Jacob</t>
  </si>
  <si>
    <t>Fadmirault, Lillian</t>
  </si>
  <si>
    <t>Louisiana (New Orleans)</t>
  </si>
  <si>
    <t>Madges, Samuel</t>
  </si>
  <si>
    <t>(Omega?), unnamed</t>
  </si>
  <si>
    <t>Stone, Joseph</t>
  </si>
  <si>
    <t>First name/spelling uncertain</t>
  </si>
  <si>
    <t>5A</t>
  </si>
  <si>
    <t>Luchow, Jennie</t>
  </si>
  <si>
    <t>Russia</t>
  </si>
  <si>
    <t>Smith, Irene</t>
  </si>
  <si>
    <t>Bogdanowitz(?), Helen</t>
  </si>
  <si>
    <t>Dilber, Charles</t>
  </si>
  <si>
    <t>Zyneski, Millie</t>
  </si>
  <si>
    <t>Benedik, Martin</t>
  </si>
  <si>
    <t>Gombar, Barbara</t>
  </si>
  <si>
    <t>Czechoslovakia</t>
  </si>
  <si>
    <t>Luskin, George J.</t>
  </si>
  <si>
    <t>5B</t>
  </si>
  <si>
    <t>Doelker, Anna</t>
  </si>
  <si>
    <t>Guzmar, Pearl (cont.)</t>
  </si>
  <si>
    <t>Molesky, Ann L.</t>
  </si>
  <si>
    <t>Cohen, Meyer</t>
  </si>
  <si>
    <t>McNeigh, Elizabeth</t>
  </si>
  <si>
    <t>Ireland (Free State)</t>
  </si>
  <si>
    <t>Smerling, Morris</t>
  </si>
  <si>
    <t>Williams, Minnie</t>
  </si>
  <si>
    <t>Epstein, Samuel</t>
  </si>
  <si>
    <t>Batko, Mary</t>
  </si>
  <si>
    <t>Rutenberg, Harry</t>
  </si>
  <si>
    <t>James, Fannie(?)</t>
  </si>
  <si>
    <t>Sokoloff, Ralph</t>
  </si>
  <si>
    <t>Shepherd, Ann-May</t>
  </si>
  <si>
    <t>Ohio (Cincinnati)</t>
  </si>
  <si>
    <t>Boley, Henry</t>
  </si>
  <si>
    <t>6A</t>
  </si>
  <si>
    <t>Foley, Helen</t>
  </si>
  <si>
    <t>Mainstock, Louis</t>
  </si>
  <si>
    <t>Bako, Helen</t>
  </si>
  <si>
    <t>Pennsylvania (Johnstown)</t>
  </si>
  <si>
    <t>Perlmutter, Herman</t>
  </si>
  <si>
    <t>Kroll, Helen</t>
  </si>
  <si>
    <t>Levy, Milton</t>
  </si>
  <si>
    <t>Rammirez, Gus</t>
  </si>
  <si>
    <t>Chauffeur</t>
  </si>
  <si>
    <t>6B</t>
  </si>
  <si>
    <t>Rammirez, Anner</t>
  </si>
  <si>
    <t>Dolsky, Archie (cont.)</t>
  </si>
  <si>
    <t>Likely wife of Gus Rammirez (chauffeur), also employed by the same household</t>
  </si>
  <si>
    <t>Roland, Catherine</t>
  </si>
  <si>
    <t>Brown, David J.</t>
  </si>
  <si>
    <t>Mezei, Rose</t>
  </si>
  <si>
    <t>Rottenberg, Samuel</t>
  </si>
  <si>
    <t>McBryon(?), Mary</t>
  </si>
  <si>
    <t>England (Northumberland)</t>
  </si>
  <si>
    <t>Isaacson, A. Irving</t>
  </si>
  <si>
    <t>Maverick, Mary</t>
  </si>
  <si>
    <t>West Virginia (Morgantown)</t>
  </si>
  <si>
    <t>Stolitzky, Benjam</t>
  </si>
  <si>
    <t>Teravainen, Helen</t>
  </si>
  <si>
    <t>Lauren(?), Nathan</t>
  </si>
  <si>
    <t>Ledly, Helen</t>
  </si>
  <si>
    <t>New York (Brewster)</t>
  </si>
  <si>
    <t>Stammelman, Mortimer</t>
  </si>
  <si>
    <t>7A</t>
  </si>
  <si>
    <t>Mannheimer, Irene</t>
  </si>
  <si>
    <t>Newman, Douglas</t>
  </si>
  <si>
    <t>Akins(?), Genever</t>
  </si>
  <si>
    <t>Ohio (Chicago)</t>
  </si>
  <si>
    <t>Ryk, Leo P.</t>
  </si>
  <si>
    <t>Ostapick, Catherine</t>
  </si>
  <si>
    <t>Pennsylvania (Hilldale)</t>
  </si>
  <si>
    <t>Alpern, Milton</t>
  </si>
  <si>
    <t>Barclow, Gretchen</t>
  </si>
  <si>
    <t>Leusall, George</t>
  </si>
  <si>
    <t>Dycir(?), Manya</t>
  </si>
  <si>
    <t>Delaware (Wilmington)</t>
  </si>
  <si>
    <t>Berstein, Sidney</t>
  </si>
  <si>
    <t>7B</t>
  </si>
  <si>
    <t>Meyer, Johanne</t>
  </si>
  <si>
    <t>Fried, Aaron</t>
  </si>
  <si>
    <t>Eva (surname illegible)</t>
  </si>
  <si>
    <t>Surname not legible</t>
  </si>
  <si>
    <t>8A</t>
  </si>
  <si>
    <t>McDonald, Jean</t>
  </si>
  <si>
    <t>France</t>
  </si>
  <si>
    <t>Schunck, Samuel K.</t>
  </si>
  <si>
    <t>Detteners(?), Assuncion</t>
  </si>
  <si>
    <t>Div</t>
  </si>
  <si>
    <t>Puerto Rico</t>
  </si>
  <si>
    <t>Weitman, Robert</t>
  </si>
  <si>
    <t>Finkelstein, Anne</t>
  </si>
  <si>
    <t>Brewer, Ethel</t>
  </si>
  <si>
    <t>Occupation industry listed as 'Hospital' rather than private family; may be a lodger with an outside job rather than a household servant</t>
  </si>
  <si>
    <t>Drayton, Verona</t>
  </si>
  <si>
    <t>Baseau, Maurice</t>
  </si>
  <si>
    <t>8B</t>
  </si>
  <si>
    <t>Yakaitis, Betu(?)</t>
  </si>
  <si>
    <t>New York (Bronx)</t>
  </si>
  <si>
    <t>Volk, Herman L.</t>
  </si>
  <si>
    <t>Royal, Anne</t>
  </si>
  <si>
    <t>Georgia</t>
  </si>
  <si>
    <t>Dorff, George B.</t>
  </si>
  <si>
    <t>61A</t>
  </si>
  <si>
    <t>Dowde, Ingo</t>
  </si>
  <si>
    <t>Denmark</t>
  </si>
  <si>
    <t>Blumberg, Milton (cont. from Sheet 1A)</t>
  </si>
  <si>
    <t>Supplemental sheet consolidating housekeepers continued from earlier sheets</t>
  </si>
  <si>
    <t>Byrd(?), Gace(?)</t>
  </si>
  <si>
    <t>Greenberg, Jacob (cont. from Sheet 2B)</t>
  </si>
  <si>
    <t>Name uncertain; supplemental sheet</t>
  </si>
  <si>
    <t>Roche, Delia</t>
  </si>
  <si>
    <t>Goodman, John (cont. from Sheet 3B)</t>
  </si>
  <si>
    <t>Supplemental sheet</t>
  </si>
  <si>
    <t>Rothschild, Rosa</t>
  </si>
  <si>
    <t>Bildersee, Adele (?)</t>
  </si>
  <si>
    <t>Household assignment on this supplemental sheet is unclear</t>
  </si>
  <si>
    <t>Gathers, Mable</t>
  </si>
  <si>
    <t>Kassner, Albert (cont. from Sheet 6B)</t>
  </si>
  <si>
    <t>Canadle, Elizabeth</t>
  </si>
  <si>
    <t>Iowa (Chicago)</t>
  </si>
  <si>
    <t>Weintraub, Maurice (cont. from Sheet 2A)</t>
  </si>
  <si>
    <t>Kwiatkowski(?), Sopie</t>
  </si>
  <si>
    <t>New York (Lodi, NJ)</t>
  </si>
  <si>
    <t>Zinn, Martain (cont. from Sheet 4B)</t>
  </si>
  <si>
    <t>Surname uncertain; supplemental sheet</t>
  </si>
  <si>
    <t>Goodmahn(?), Athel</t>
  </si>
  <si>
    <t>Virginia (Whaleyville)</t>
  </si>
  <si>
    <t>(unclear household)</t>
  </si>
  <si>
    <t>Miller, Calbertha</t>
  </si>
  <si>
    <t>South Carolina (Florence)</t>
  </si>
  <si>
    <t>White, Charlotte</t>
  </si>
  <si>
    <t>Bermuda</t>
  </si>
  <si>
    <t>Rosenberg, Daniel (cont. from Sheet 8A)</t>
  </si>
  <si>
    <t>- This 1940 enumeration covers the whole of 135 Eastern Parkway far more comprehensively than the extracted excerpts available for 1930 and 1950 (units run up to at least 174), so the raw servant count is not directly comparable without normalizing for building coverage.</t>
  </si>
  <si>
    <t>- Sheet 61A is a supplemental sheet that consolidates several household workers whose entries continue ('Continued') from earlier sheets in this same enumeration district; where the continuing household could be identified from context it is noted, otherwise flagged as unclear.</t>
  </si>
  <si>
    <t>- Rows highlighted in yellow contain a flagged uncertainty (name, surname, occupation classification, or unclear household assignment).</t>
  </si>
  <si>
    <t>- Two entries (Rankl, Juatta and Finkelstein, Anne) are nurses whose industry is listed as 'Private Practice' or 'Hospital' rather than 'Private Family'; they may represent boarders/lodgers working outside the household rather than live-in domestic servants for that household. Included for completeness and flagged.</t>
  </si>
  <si>
    <t>- Rammirez, Gus (Chauffeur) and Rammirez, Anner (Cook) appear to be a married couple both employed by the Dolsky household — a rare example of a live-in household staff couple in this dataset.</t>
  </si>
  <si>
    <t>- This 1940 enumeration covers the whole of 135 Eastern Parkway far more comprehensively than the excerpts available for 1930 and 1950 (units run up to at least 174), so the raw servant count here is not directly comparable to the other two decades without normalizing for building coverage.</t>
  </si>
  <si>
    <t>- Two entries (Rankl, Juatta and Finkelstein, Anne) are nurses whose industry is listed as 'Private Practice' or 'Hospital' rather than 'Private Family'; they may represent boarders/lodgers working outside the household rather than live-in domestic servants for that household.</t>
  </si>
  <si>
    <t>135 Eastern Parkway — 1940 Servant Summary Statistics</t>
  </si>
  <si>
    <t>By Sex</t>
  </si>
  <si>
    <t>Female</t>
  </si>
  <si>
    <t>Male</t>
  </si>
  <si>
    <t>Single</t>
  </si>
  <si>
    <t>Divorced</t>
  </si>
  <si>
    <t>Note: 1940 uses 'Housekeeper' as the dominant occupation title on this schedule, roughly equivalent to 'Maid'/'Servant' in the 1930 and 1950 schedules.</t>
  </si>
  <si>
    <t>135 Eastern Parkway (Turner Towers), Brooklyn — 1950 U.S. Census</t>
  </si>
  <si>
    <t>Domestic servant / household worker roster — ED 24-1447, Sheets 17-36, Enumerator Charles E. White (Apr 13 - May 1, 1950)</t>
  </si>
  <si>
    <t>Hours/Week</t>
  </si>
  <si>
    <t>Dombtschewska, Irene</t>
  </si>
  <si>
    <t>Ukraine</t>
  </si>
  <si>
    <t>Teravanin, Hilda</t>
  </si>
  <si>
    <t>General Maid</t>
  </si>
  <si>
    <t>Nev</t>
  </si>
  <si>
    <t>Salwen, Nathan</t>
  </si>
  <si>
    <t>(Kasenaty?), Anna</t>
  </si>
  <si>
    <t>Maid (mother-in-law of head)</t>
  </si>
  <si>
    <t>Russia(?)</t>
  </si>
  <si>
    <t>Brown / household at line 29</t>
  </si>
  <si>
    <t>Handwriting ambiguous; relationship listed as mother-in-law</t>
  </si>
  <si>
    <t>Brown, Mae</t>
  </si>
  <si>
    <t>D</t>
  </si>
  <si>
    <t>Hirsch, Reuben</t>
  </si>
  <si>
    <t>Walsh, Mary</t>
  </si>
  <si>
    <t>Baby Nurse</t>
  </si>
  <si>
    <t>Yaffe, Maurice</t>
  </si>
  <si>
    <t>Fee, Philomena</t>
  </si>
  <si>
    <t>Pensig, Herbert</t>
  </si>
  <si>
    <t>Whitman, Dora</t>
  </si>
  <si>
    <t>South Carolina</t>
  </si>
  <si>
    <t>Dorff, George</t>
  </si>
  <si>
    <t>Clinksales(?), Mary</t>
  </si>
  <si>
    <t>Bildersee, Adele</t>
  </si>
  <si>
    <t>Viot, Marguerite</t>
  </si>
  <si>
    <t>Alsace-Lorraine</t>
  </si>
  <si>
    <t>Mulhern, Annie</t>
  </si>
  <si>
    <t>Brenner, Phillip</t>
  </si>
  <si>
    <t>Thompson, Mabel</t>
  </si>
  <si>
    <t>Sep</t>
  </si>
  <si>
    <t>(own household, line 29)</t>
  </si>
  <si>
    <t>Listed as head of own line; live-in servant status inferred</t>
  </si>
  <si>
    <t>Pisklak(?), Adele</t>
  </si>
  <si>
    <t>Housekeeper / Domestic</t>
  </si>
  <si>
    <t>Marks, Harry M.</t>
  </si>
  <si>
    <t>Moodie, Sarah</t>
  </si>
  <si>
    <t>England</t>
  </si>
  <si>
    <t>Needle, Harry</t>
  </si>
  <si>
    <t>Gielenska, Anna</t>
  </si>
  <si>
    <t>Niman, Rose</t>
  </si>
  <si>
    <t>Tchinkel(?), Olga</t>
  </si>
  <si>
    <t>Parnes, Edward</t>
  </si>
  <si>
    <t>Auerbach, Tony</t>
  </si>
  <si>
    <t>Nursemaid (Child)</t>
  </si>
  <si>
    <t>Aron, Helen</t>
  </si>
  <si>
    <t>Philbert, Hazeline</t>
  </si>
  <si>
    <t>Wasserman, Arnold C.</t>
  </si>
  <si>
    <t>Foster, Lummie</t>
  </si>
  <si>
    <t>Wasch, Milton G.</t>
  </si>
  <si>
    <t>Kersche(?), Angela</t>
  </si>
  <si>
    <t>Minnesota</t>
  </si>
  <si>
    <t>Blume, Vivian</t>
  </si>
  <si>
    <t>Argousack(?), Rose</t>
  </si>
  <si>
    <t>Strausburg, Morris</t>
  </si>
  <si>
    <t>Meyer, Johanna Marie</t>
  </si>
  <si>
    <t>Fried, Aaron L.</t>
  </si>
  <si>
    <t>Straub, Anna</t>
  </si>
  <si>
    <t>Benedek, Louis</t>
  </si>
  <si>
    <t>Salveson, Sophie</t>
  </si>
  <si>
    <t>Daniels, Jennie</t>
  </si>
  <si>
    <t>Goldberg, Maurice E.</t>
  </si>
  <si>
    <t>Bindel, Solomea</t>
  </si>
  <si>
    <t>Raphael, L. Louis</t>
  </si>
  <si>
    <t>Dowling, Mary</t>
  </si>
  <si>
    <t>Novro, Barnett J.</t>
  </si>
  <si>
    <t>Lord(?), Julia B.</t>
  </si>
  <si>
    <t>Dobard, Blanche</t>
  </si>
  <si>
    <t>Jacobs, Ida M.</t>
  </si>
  <si>
    <t>Bolbaetz(?), Theresa</t>
  </si>
  <si>
    <t>Shaffer, Jacob M.</t>
  </si>
  <si>
    <t>Wilfert, Emma</t>
  </si>
  <si>
    <t>Sukson, Minnie A.</t>
  </si>
  <si>
    <t>Krupa, Mary M.</t>
  </si>
  <si>
    <t>Goodman, Jacob</t>
  </si>
  <si>
    <t>Barnes, Cassie</t>
  </si>
  <si>
    <t>Morris, Ruth K.</t>
  </si>
  <si>
    <t>Zieninski, Mary</t>
  </si>
  <si>
    <t>Freedman, Etta / Jerome N.</t>
  </si>
  <si>
    <t>- Sheets 17, 20, 22, and 25 contained no identifiable live-in servants and are excluded from this roster.</t>
  </si>
  <si>
    <t>- Line 19/29 (Anna, listed as mother-in-law) and line 23/29 (Mabel Thompson, listed as household head) are included as likely domestic workers based on occupation/industry columns; relationship-to-head coding is ambiguous or atypical.</t>
  </si>
  <si>
    <t>135 Eastern Parkway — 1950 Servant Summary Statistics</t>
  </si>
  <si>
    <t>Never Married</t>
  </si>
  <si>
    <t>Separated</t>
  </si>
  <si>
    <t>Occupation breakdown categories are not mutually exclusive (e.g. some entries combine titles like 'Housekeeper / Domestic').</t>
  </si>
  <si>
    <t>AI-generated. Beware of often inaccurate transcriptions, especially of name spellings.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</si>
</sst>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theme="1"/>
      <name val="Calibri"/>
      <family val="2"/>
      <charset val="1"/>
    </font>
    <font>
      <b/>
      <sz val="14"/>
      <color rgb="FF2E2E2E"/>
      <name val="Arial"/>
      <charset val="1"/>
    </font>
    <font>
      <i/>
      <sz val="10"/>
      <color rgb="FF595959"/>
      <name val="Arial"/>
      <charset val="1"/>
    </font>
    <font>
      <b/>
      <sz val="10"/>
      <color rgb="FFFFFFFF"/>
      <name val="Arial"/>
      <charset val="1"/>
    </font>
    <font>
      <b/>
      <sz val="10"/>
      <name val="Arial"/>
      <charset val="1"/>
    </font>
    <font>
      <sz val="10"/>
      <name val="Arial"/>
      <charset val="1"/>
    </font>
    <font>
      <i/>
      <sz val="9"/>
      <color rgb="FF595959"/>
      <name val="Arial"/>
      <charset val="1"/>
    </font>
    <font>
      <i/>
      <sz val="9"/>
      <color rgb="FF808080"/>
      <name val="Arial"/>
      <charset val="1"/>
    </font>
    <font>
      <b/>
      <sz val="14"/>
      <color rgb="FF7F3F1F"/>
      <name val="Arial"/>
      <charset val="1"/>
    </font>
    <font>
      <b/>
      <sz val="14"/>
      <color rgb="FF1F5C3F"/>
      <name val="Arial"/>
      <charset val="1"/>
    </font>
    <font>
      <b/>
      <sz val="14"/>
      <color rgb="FF1F4E78"/>
      <name val="Arial"/>
      <charset val="1"/>
    </font>
    <font>
      <b/>
      <sz val="14"/>
      <color rgb="FF4A2E5C"/>
      <name val="Arial"/>
    </font>
    <font>
      <i/>
      <sz val="10"/>
      <color rgb="FF595959"/>
      <name val="Arial"/>
    </font>
    <font>
      <b/>
      <sz val="10"/>
      <color rgb="FFFFFFFF"/>
      <name val="Arial"/>
    </font>
    <font>
      <b/>
      <sz val="10"/>
      <color rgb="FF4A2E5C"/>
      <name val="Arial"/>
    </font>
    <font>
      <sz val="10"/>
      <name val="Arial"/>
    </font>
    <font>
      <b/>
      <sz val="10"/>
      <name val="Arial"/>
    </font>
    <font>
      <i/>
      <sz val="9"/>
      <color rgb="FF808080"/>
      <name val="Arial"/>
    </font>
  </fonts>
  <fills count="13">
    <fill>
      <patternFill patternType="none"/>
    </fill>
    <fill>
      <patternFill patternType="gray125"/>
    </fill>
    <fill>
      <patternFill patternType="solid">
        <fgColor rgb="FF2E2E2E"/>
        <bgColor rgb="FF333300"/>
      </patternFill>
    </fill>
    <fill>
      <patternFill patternType="solid">
        <fgColor rgb="FFF2F2F2"/>
        <bgColor rgb="FFEAF2EE"/>
      </patternFill>
    </fill>
    <fill>
      <patternFill patternType="solid">
        <fgColor rgb="FF7F3F1F"/>
        <bgColor rgb="FF993366"/>
      </patternFill>
    </fill>
    <fill>
      <patternFill patternType="solid">
        <fgColor rgb="FFF2ECE7"/>
        <bgColor rgb="FFF2F2F2"/>
      </patternFill>
    </fill>
    <fill>
      <patternFill patternType="solid">
        <fgColor rgb="FFFFF2CC"/>
        <bgColor rgb="FFF2ECE7"/>
      </patternFill>
    </fill>
    <fill>
      <patternFill patternType="solid">
        <fgColor rgb="FF1F5C3F"/>
        <bgColor rgb="FF1F4E78"/>
      </patternFill>
    </fill>
    <fill>
      <patternFill patternType="solid">
        <fgColor rgb="FFEAF2EE"/>
        <bgColor rgb="FFF2F2F2"/>
      </patternFill>
    </fill>
    <fill>
      <patternFill patternType="solid">
        <fgColor rgb="FF1F4E78"/>
        <bgColor rgb="FF1F5C3F"/>
      </patternFill>
    </fill>
    <fill>
      <patternFill patternType="solid">
        <fgColor rgb="FF4A2E5C"/>
      </patternFill>
    </fill>
    <fill>
      <patternFill patternType="solid">
        <fgColor rgb="FFE8DCEF"/>
      </patternFill>
    </fill>
    <fill>
      <patternFill patternType="solid">
        <fgColor rgb="FFF3EEF6"/>
      </patternFill>
    </fill>
  </fills>
  <borders count="5">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55">
    <xf numFmtId="0" fontId="0" fillId="0" borderId="0" xfId="0"/>
    <xf numFmtId="0" fontId="3" fillId="2" borderId="1" xfId="0" applyFont="1" applyFill="1" applyBorder="1" applyAlignment="1">
      <alignment horizontal="center" vertical="center" wrapText="1"/>
    </xf>
    <xf numFmtId="0" fontId="4" fillId="0" borderId="1" xfId="0" applyFont="1" applyBorder="1" applyAlignment="1">
      <alignment horizontal="left" vertical="center"/>
    </xf>
    <xf numFmtId="0" fontId="5" fillId="0" borderId="1" xfId="0" applyFont="1" applyBorder="1" applyAlignment="1">
      <alignment horizontal="left" vertical="center"/>
    </xf>
    <xf numFmtId="0" fontId="6" fillId="0" borderId="1" xfId="0" applyFont="1" applyBorder="1" applyAlignment="1">
      <alignment horizontal="left" vertical="center" wrapText="1"/>
    </xf>
    <xf numFmtId="0" fontId="4" fillId="3" borderId="1" xfId="0" applyFont="1" applyFill="1" applyBorder="1" applyAlignment="1">
      <alignment horizontal="left" vertical="center"/>
    </xf>
    <xf numFmtId="0" fontId="5" fillId="3" borderId="1" xfId="0" applyFont="1" applyFill="1" applyBorder="1" applyAlignment="1">
      <alignment horizontal="left" vertical="center"/>
    </xf>
    <xf numFmtId="164" fontId="5" fillId="3" borderId="1" xfId="0" applyNumberFormat="1" applyFont="1" applyFill="1" applyBorder="1" applyAlignment="1">
      <alignment horizontal="left" vertical="center"/>
    </xf>
    <xf numFmtId="164" fontId="5" fillId="0" borderId="1" xfId="0" applyNumberFormat="1" applyFont="1" applyBorder="1" applyAlignment="1">
      <alignment horizontal="left" vertical="center"/>
    </xf>
    <xf numFmtId="0" fontId="4" fillId="0" borderId="0" xfId="0" applyFont="1"/>
    <xf numFmtId="0" fontId="3" fillId="4" borderId="1" xfId="0" applyFont="1" applyFill="1" applyBorder="1" applyAlignment="1">
      <alignment horizontal="center" vertical="center" wrapText="1"/>
    </xf>
    <xf numFmtId="0" fontId="5" fillId="0" borderId="1" xfId="0" applyFont="1" applyBorder="1" applyAlignment="1">
      <alignment horizontal="center" vertical="center"/>
    </xf>
    <xf numFmtId="0" fontId="5" fillId="0" borderId="1" xfId="0" applyFont="1" applyBorder="1" applyAlignment="1">
      <alignment horizontal="left" vertical="center" wrapText="1"/>
    </xf>
    <xf numFmtId="0" fontId="5" fillId="5" borderId="1" xfId="0" applyFont="1" applyFill="1" applyBorder="1" applyAlignment="1">
      <alignment horizontal="center" vertical="center"/>
    </xf>
    <xf numFmtId="0" fontId="5" fillId="5" borderId="1" xfId="0" applyFont="1" applyFill="1" applyBorder="1" applyAlignment="1">
      <alignment horizontal="left" vertical="center"/>
    </xf>
    <xf numFmtId="0" fontId="5" fillId="5" borderId="1" xfId="0" applyFont="1" applyFill="1" applyBorder="1" applyAlignment="1">
      <alignment horizontal="left" vertical="center" wrapText="1"/>
    </xf>
    <xf numFmtId="0" fontId="5" fillId="6" borderId="1" xfId="0" applyFont="1" applyFill="1" applyBorder="1" applyAlignment="1">
      <alignment horizontal="center" vertical="center"/>
    </xf>
    <xf numFmtId="0" fontId="5" fillId="6" borderId="1" xfId="0" applyFont="1" applyFill="1" applyBorder="1" applyAlignment="1">
      <alignment horizontal="left" vertical="center"/>
    </xf>
    <xf numFmtId="0" fontId="5" fillId="6" borderId="1" xfId="0" applyFont="1" applyFill="1" applyBorder="1" applyAlignment="1">
      <alignment horizontal="left" vertical="center" wrapText="1"/>
    </xf>
    <xf numFmtId="0" fontId="3" fillId="7" borderId="1" xfId="0" applyFont="1" applyFill="1" applyBorder="1" applyAlignment="1">
      <alignment horizontal="center" vertical="center" wrapText="1"/>
    </xf>
    <xf numFmtId="0" fontId="5" fillId="8" borderId="1" xfId="0" applyFont="1" applyFill="1" applyBorder="1" applyAlignment="1">
      <alignment horizontal="center" vertical="center"/>
    </xf>
    <xf numFmtId="0" fontId="5" fillId="8" borderId="1" xfId="0" applyFont="1" applyFill="1" applyBorder="1" applyAlignment="1">
      <alignment horizontal="left" vertical="center"/>
    </xf>
    <xf numFmtId="0" fontId="5" fillId="8" borderId="1" xfId="0" applyFont="1" applyFill="1" applyBorder="1" applyAlignment="1">
      <alignment horizontal="left" vertical="center" wrapText="1"/>
    </xf>
    <xf numFmtId="0" fontId="3" fillId="9" borderId="1" xfId="0" applyFont="1" applyFill="1" applyBorder="1" applyAlignment="1">
      <alignment horizontal="center" vertical="center" wrapText="1"/>
    </xf>
    <xf numFmtId="0" fontId="5" fillId="3" borderId="1" xfId="0" applyFont="1" applyFill="1" applyBorder="1" applyAlignment="1">
      <alignment horizontal="center" vertical="center"/>
    </xf>
    <xf numFmtId="0" fontId="5" fillId="3" borderId="1" xfId="0" applyFont="1" applyFill="1" applyBorder="1" applyAlignment="1">
      <alignment horizontal="left" vertical="center" wrapText="1"/>
    </xf>
    <xf numFmtId="0" fontId="4" fillId="0" borderId="1" xfId="0" applyFont="1" applyBorder="1"/>
    <xf numFmtId="0" fontId="5" fillId="0" borderId="1" xfId="0" applyFont="1" applyBorder="1"/>
    <xf numFmtId="0" fontId="13" fillId="10" borderId="4" xfId="0" applyFont="1" applyFill="1" applyBorder="1" applyAlignment="1">
      <alignment horizontal="center" vertical="center" wrapText="1"/>
    </xf>
    <xf numFmtId="0" fontId="14" fillId="11" borderId="4" xfId="0" applyFont="1" applyFill="1" applyBorder="1" applyAlignment="1">
      <alignment horizontal="center" vertical="center"/>
    </xf>
    <xf numFmtId="0" fontId="15" fillId="11" borderId="4" xfId="0" applyFont="1" applyFill="1" applyBorder="1" applyAlignment="1">
      <alignment horizontal="left" vertical="center"/>
    </xf>
    <xf numFmtId="0" fontId="15" fillId="11" borderId="4" xfId="0" applyFont="1" applyFill="1" applyBorder="1" applyAlignment="1">
      <alignment horizontal="center" vertical="center"/>
    </xf>
    <xf numFmtId="0" fontId="15" fillId="11" borderId="4" xfId="0" applyFont="1" applyFill="1" applyBorder="1" applyAlignment="1">
      <alignment horizontal="left" vertical="center" wrapText="1"/>
    </xf>
    <xf numFmtId="0" fontId="14" fillId="0" borderId="4" xfId="0" applyFont="1" applyBorder="1" applyAlignment="1">
      <alignment horizontal="center" vertical="center"/>
    </xf>
    <xf numFmtId="0" fontId="15" fillId="0" borderId="4" xfId="0" applyFont="1" applyBorder="1" applyAlignment="1">
      <alignment horizontal="left" vertical="center"/>
    </xf>
    <xf numFmtId="0" fontId="15" fillId="0" borderId="4" xfId="0" applyFont="1" applyBorder="1" applyAlignment="1">
      <alignment horizontal="center" vertical="center"/>
    </xf>
    <xf numFmtId="0" fontId="15" fillId="0" borderId="4" xfId="0" applyFont="1" applyBorder="1" applyAlignment="1">
      <alignment horizontal="left" vertical="center" wrapText="1"/>
    </xf>
    <xf numFmtId="0" fontId="14" fillId="12" borderId="4" xfId="0" applyFont="1" applyFill="1" applyBorder="1" applyAlignment="1">
      <alignment horizontal="center" vertical="center"/>
    </xf>
    <xf numFmtId="0" fontId="15" fillId="12" borderId="4" xfId="0" applyFont="1" applyFill="1" applyBorder="1" applyAlignment="1">
      <alignment horizontal="left" vertical="center"/>
    </xf>
    <xf numFmtId="0" fontId="15" fillId="12" borderId="4" xfId="0" applyFont="1" applyFill="1" applyBorder="1" applyAlignment="1">
      <alignment horizontal="center" vertical="center"/>
    </xf>
    <xf numFmtId="0" fontId="15" fillId="12" borderId="4" xfId="0" applyFont="1" applyFill="1" applyBorder="1" applyAlignment="1">
      <alignment horizontal="left" vertical="center" wrapText="1"/>
    </xf>
    <xf numFmtId="0" fontId="16" fillId="0" borderId="0" xfId="0" applyFont="1"/>
    <xf numFmtId="0" fontId="2" fillId="0" borderId="0" xfId="0" applyFont="1"/>
    <xf numFmtId="0" fontId="0" fillId="0" borderId="0" xfId="0"/>
    <xf numFmtId="0" fontId="7" fillId="0" borderId="0" xfId="0" applyFont="1"/>
    <xf numFmtId="0" fontId="9" fillId="0" borderId="0" xfId="0" applyFont="1"/>
    <xf numFmtId="0" fontId="1" fillId="0" borderId="0" xfId="0" applyFont="1"/>
    <xf numFmtId="0" fontId="11" fillId="0" borderId="0" xfId="0" applyFont="1"/>
    <xf numFmtId="0" fontId="17" fillId="0" borderId="0" xfId="0" applyFont="1"/>
    <xf numFmtId="0" fontId="12" fillId="0" borderId="0" xfId="0" applyFont="1"/>
    <xf numFmtId="0" fontId="8" fillId="0" borderId="0" xfId="0" applyFont="1"/>
    <xf numFmtId="0" fontId="7" fillId="0" borderId="1" xfId="0" applyFont="1" applyBorder="1"/>
    <xf numFmtId="0" fontId="0" fillId="0" borderId="2" xfId="0" applyBorder="1"/>
    <xf numFmtId="0" fontId="0" fillId="0" borderId="3" xfId="0" applyBorder="1"/>
    <xf numFmtId="0" fontId="10" fillId="0" borderId="0" xfId="0" applyFo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EAF2EE"/>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F2F2F2"/>
      <rgbColor rgb="FFF2ECE7"/>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5C3F"/>
      <rgbColor rgb="FF339966"/>
      <rgbColor rgb="FF003300"/>
      <rgbColor rgb="FF333300"/>
      <rgbColor rgb="FF7F3F1F"/>
      <rgbColor rgb="FF993366"/>
      <rgbColor rgb="FF1F4E78"/>
      <rgbColor rgb="FF2E2E2E"/>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2"/>
  <sheetViews>
    <sheetView zoomScaleNormal="100" workbookViewId="0">
      <pane ySplit="4" topLeftCell="A5" activePane="bottomLeft" state="frozen"/>
      <selection pane="bottomLeft" sqref="A1:XFD1048576"/>
    </sheetView>
  </sheetViews>
  <sheetFormatPr defaultColWidth="8.68359375" defaultRowHeight="14.4" x14ac:dyDescent="0.55000000000000004"/>
  <cols>
    <col min="1" max="1" width="34" customWidth="1"/>
    <col min="2" max="4" width="18" customWidth="1"/>
    <col min="5" max="5" width="52" customWidth="1"/>
  </cols>
  <sheetData>
    <row r="1" spans="1:5" ht="17.350000000000001" customHeight="1" x14ac:dyDescent="0.6">
      <c r="A1" s="46" t="s">
        <v>0</v>
      </c>
      <c r="B1" s="43"/>
      <c r="C1" s="43"/>
      <c r="D1" s="43"/>
      <c r="E1" s="43"/>
    </row>
    <row r="2" spans="1:5" ht="15" customHeight="1" x14ac:dyDescent="0.55000000000000004">
      <c r="A2" s="42" t="s">
        <v>1</v>
      </c>
      <c r="B2" s="43"/>
      <c r="C2" s="43"/>
      <c r="D2" s="43"/>
      <c r="E2" s="43"/>
    </row>
    <row r="4" spans="1:5" ht="15" customHeight="1" x14ac:dyDescent="0.55000000000000004">
      <c r="A4" s="1" t="s">
        <v>2</v>
      </c>
      <c r="B4" s="1" t="s">
        <v>3</v>
      </c>
      <c r="C4" s="1" t="s">
        <v>4</v>
      </c>
      <c r="D4" s="1" t="s">
        <v>5</v>
      </c>
      <c r="E4" s="1" t="s">
        <v>6</v>
      </c>
    </row>
    <row r="5" spans="1:5" ht="43.3" customHeight="1" x14ac:dyDescent="0.55000000000000004">
      <c r="A5" s="2" t="s">
        <v>7</v>
      </c>
      <c r="B5" s="3">
        <f>'1930 Summary'!B3</f>
        <v>64</v>
      </c>
      <c r="C5" s="3">
        <f>'1940 Summary'!B3</f>
        <v>89</v>
      </c>
      <c r="D5" s="3">
        <f>'1950 Summary'!B3</f>
        <v>35</v>
      </c>
      <c r="E5" s="4" t="s">
        <v>8</v>
      </c>
    </row>
    <row r="6" spans="1:5" ht="15" customHeight="1" x14ac:dyDescent="0.55000000000000004">
      <c r="A6" s="5" t="s">
        <v>9</v>
      </c>
      <c r="B6" s="6">
        <f>'1930 Summary'!B7</f>
        <v>3</v>
      </c>
      <c r="C6" s="6">
        <f>'1940 Summary'!B11</f>
        <v>23</v>
      </c>
      <c r="D6" s="6">
        <f>'1950 Summary'!B7</f>
        <v>9</v>
      </c>
      <c r="E6" s="4"/>
    </row>
    <row r="7" spans="1:5" ht="15" customHeight="1" x14ac:dyDescent="0.55000000000000004">
      <c r="A7" s="2" t="s">
        <v>10</v>
      </c>
      <c r="B7" s="3">
        <f>'1930 Summary'!B6</f>
        <v>61</v>
      </c>
      <c r="C7" s="3">
        <f>'1940 Summary'!B10</f>
        <v>66</v>
      </c>
      <c r="D7" s="3">
        <f>'1950 Summary'!B6</f>
        <v>26</v>
      </c>
      <c r="E7" s="4"/>
    </row>
    <row r="8" spans="1:5" ht="32.799999999999997" customHeight="1" x14ac:dyDescent="0.55000000000000004">
      <c r="A8" s="5" t="s">
        <v>11</v>
      </c>
      <c r="B8" s="7">
        <f>IFERROR(B6/B5,0)</f>
        <v>4.6875E-2</v>
      </c>
      <c r="C8" s="7">
        <f>IFERROR(C6/C5,0)</f>
        <v>0.25842696629213485</v>
      </c>
      <c r="D8" s="7">
        <f>IFERROR(D6/D5,0)</f>
        <v>0.25714285714285712</v>
      </c>
      <c r="E8" s="4" t="s">
        <v>12</v>
      </c>
    </row>
    <row r="9" spans="1:5" ht="15" customHeight="1" x14ac:dyDescent="0.55000000000000004">
      <c r="A9" s="2" t="s">
        <v>13</v>
      </c>
      <c r="B9" s="3">
        <f>'1930 Summary'!B16</f>
        <v>58</v>
      </c>
      <c r="C9" s="3">
        <f>'1940 Summary'!B21</f>
        <v>37</v>
      </c>
      <c r="D9" s="3">
        <f>'1950 Summary'!B18</f>
        <v>22</v>
      </c>
      <c r="E9" s="4"/>
    </row>
    <row r="10" spans="1:5" ht="15" customHeight="1" x14ac:dyDescent="0.55000000000000004">
      <c r="A10" s="5" t="s">
        <v>14</v>
      </c>
      <c r="B10" s="6">
        <f>'1930 Summary'!B15</f>
        <v>6</v>
      </c>
      <c r="C10" s="6">
        <f>'1940 Summary'!B20</f>
        <v>52</v>
      </c>
      <c r="D10" s="6">
        <f>'1950 Summary'!B17</f>
        <v>13</v>
      </c>
      <c r="E10" s="4"/>
    </row>
    <row r="11" spans="1:5" ht="64.150000000000006" customHeight="1" x14ac:dyDescent="0.55000000000000004">
      <c r="A11" s="2" t="s">
        <v>15</v>
      </c>
      <c r="B11" s="8">
        <f>IFERROR(B9/B5,0)</f>
        <v>0.90625</v>
      </c>
      <c r="C11" s="8">
        <f>IFERROR(C9/C5,0)</f>
        <v>0.4157303370786517</v>
      </c>
      <c r="D11" s="8">
        <f>IFERROR(D9/D5,0)</f>
        <v>0.62857142857142856</v>
      </c>
      <c r="E11" s="4" t="s">
        <v>16</v>
      </c>
    </row>
    <row r="12" spans="1:5" ht="32.799999999999997" customHeight="1" x14ac:dyDescent="0.55000000000000004">
      <c r="A12" s="5" t="s">
        <v>17</v>
      </c>
      <c r="B12" s="6">
        <f>'1930 Summary'!B27</f>
        <v>27.71875</v>
      </c>
      <c r="C12" s="6">
        <f>'1940 Summary'!B31</f>
        <v>31.640449438202246</v>
      </c>
      <c r="D12" s="6">
        <f>'1950 Summary'!B30</f>
        <v>45.142857142857146</v>
      </c>
      <c r="E12" s="4" t="s">
        <v>18</v>
      </c>
    </row>
    <row r="13" spans="1:5" ht="15" customHeight="1" x14ac:dyDescent="0.55000000000000004">
      <c r="A13" s="2" t="s">
        <v>19</v>
      </c>
      <c r="B13" s="3">
        <f>'1930 Summary'!B28</f>
        <v>24</v>
      </c>
      <c r="C13" s="3">
        <f>'1940 Summary'!B32</f>
        <v>29</v>
      </c>
      <c r="D13" s="3">
        <f>'1950 Summary'!B31</f>
        <v>45</v>
      </c>
      <c r="E13" s="4"/>
    </row>
    <row r="14" spans="1:5" ht="43.3" customHeight="1" x14ac:dyDescent="0.55000000000000004">
      <c r="A14" s="5" t="s">
        <v>20</v>
      </c>
      <c r="B14" s="6" t="s">
        <v>21</v>
      </c>
      <c r="C14" s="6" t="s">
        <v>22</v>
      </c>
      <c r="D14" s="6" t="s">
        <v>23</v>
      </c>
      <c r="E14" s="4" t="s">
        <v>24</v>
      </c>
    </row>
    <row r="16" spans="1:5" ht="15" customHeight="1" x14ac:dyDescent="0.55000000000000004">
      <c r="A16" s="9" t="s">
        <v>25</v>
      </c>
    </row>
    <row r="17" spans="1:5" ht="39.75" customHeight="1" x14ac:dyDescent="0.55000000000000004">
      <c r="A17" s="44" t="s">
        <v>26</v>
      </c>
      <c r="B17" s="43"/>
      <c r="C17" s="43"/>
      <c r="D17" s="43"/>
      <c r="E17" s="43"/>
    </row>
    <row r="18" spans="1:5" ht="39.75" customHeight="1" x14ac:dyDescent="0.55000000000000004">
      <c r="A18" s="44" t="s">
        <v>27</v>
      </c>
      <c r="B18" s="43"/>
      <c r="C18" s="43"/>
      <c r="D18" s="43"/>
      <c r="E18" s="43"/>
    </row>
    <row r="19" spans="1:5" ht="39.75" customHeight="1" x14ac:dyDescent="0.55000000000000004">
      <c r="A19" s="44" t="s">
        <v>28</v>
      </c>
      <c r="B19" s="43"/>
      <c r="C19" s="43"/>
      <c r="D19" s="43"/>
      <c r="E19" s="43"/>
    </row>
    <row r="20" spans="1:5" ht="39.75" customHeight="1" x14ac:dyDescent="0.55000000000000004">
      <c r="A20" s="44" t="s">
        <v>29</v>
      </c>
      <c r="B20" s="43"/>
      <c r="C20" s="43"/>
      <c r="D20" s="43"/>
      <c r="E20" s="43"/>
    </row>
    <row r="21" spans="1:5" ht="39.75" customHeight="1" x14ac:dyDescent="0.55000000000000004">
      <c r="A21" s="44" t="s">
        <v>30</v>
      </c>
      <c r="B21" s="43"/>
      <c r="C21" s="43"/>
      <c r="D21" s="43"/>
      <c r="E21" s="43"/>
    </row>
    <row r="22" spans="1:5" ht="39.75" customHeight="1" x14ac:dyDescent="0.55000000000000004">
      <c r="A22" s="44" t="s">
        <v>31</v>
      </c>
      <c r="B22" s="43"/>
      <c r="C22" s="43"/>
      <c r="D22" s="43"/>
      <c r="E22" s="43"/>
    </row>
  </sheetData>
  <mergeCells count="8">
    <mergeCell ref="A2:E2"/>
    <mergeCell ref="A19:E19"/>
    <mergeCell ref="A1:E1"/>
    <mergeCell ref="A22:E22"/>
    <mergeCell ref="A17:E17"/>
    <mergeCell ref="A18:E18"/>
    <mergeCell ref="A21:E21"/>
    <mergeCell ref="A20:E20"/>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30"/>
  <sheetViews>
    <sheetView tabSelected="1" workbookViewId="0">
      <pane ySplit="4" topLeftCell="A5" activePane="bottomLeft" state="frozen"/>
      <selection pane="bottomLeft" activeCell="A3" sqref="A3"/>
    </sheetView>
  </sheetViews>
  <sheetFormatPr defaultRowHeight="14.4" x14ac:dyDescent="0.55000000000000004"/>
  <cols>
    <col min="1" max="1" width="7" customWidth="1"/>
    <col min="2" max="2" width="24" customWidth="1"/>
    <col min="3" max="3" width="9" customWidth="1"/>
    <col min="4" max="4" width="10" customWidth="1"/>
    <col min="5" max="5" width="62" customWidth="1"/>
    <col min="6" max="6" width="45" customWidth="1"/>
  </cols>
  <sheetData>
    <row r="1" spans="1:6" ht="17.7" x14ac:dyDescent="0.6">
      <c r="A1" s="47" t="s">
        <v>32</v>
      </c>
      <c r="B1" s="43"/>
      <c r="C1" s="43"/>
      <c r="D1" s="43"/>
      <c r="E1" s="43"/>
      <c r="F1" s="43"/>
    </row>
    <row r="2" spans="1:6" x14ac:dyDescent="0.55000000000000004">
      <c r="A2" s="49" t="s">
        <v>33</v>
      </c>
      <c r="B2" s="43"/>
      <c r="C2" s="43"/>
      <c r="D2" s="43"/>
      <c r="E2" s="43"/>
      <c r="F2" s="43"/>
    </row>
    <row r="3" spans="1:6" x14ac:dyDescent="0.55000000000000004">
      <c r="A3" t="s">
        <v>621</v>
      </c>
    </row>
    <row r="4" spans="1:6" ht="24.6" x14ac:dyDescent="0.55000000000000004">
      <c r="A4" s="28" t="s">
        <v>34</v>
      </c>
      <c r="B4" s="28" t="s">
        <v>35</v>
      </c>
      <c r="C4" s="28" t="s">
        <v>36</v>
      </c>
      <c r="D4" s="28" t="s">
        <v>37</v>
      </c>
      <c r="E4" s="28" t="s">
        <v>38</v>
      </c>
      <c r="F4" s="28" t="s">
        <v>39</v>
      </c>
    </row>
    <row r="5" spans="1:6" x14ac:dyDescent="0.55000000000000004">
      <c r="A5" s="29">
        <v>1</v>
      </c>
      <c r="B5" s="30" t="s">
        <v>40</v>
      </c>
      <c r="C5" s="31" t="s">
        <v>3</v>
      </c>
      <c r="D5" s="31">
        <v>3</v>
      </c>
      <c r="E5" s="32" t="s">
        <v>41</v>
      </c>
      <c r="F5" s="32"/>
    </row>
    <row r="6" spans="1:6" x14ac:dyDescent="0.55000000000000004">
      <c r="A6" s="29">
        <v>1</v>
      </c>
      <c r="B6" s="30" t="s">
        <v>42</v>
      </c>
      <c r="C6" s="31" t="s">
        <v>4</v>
      </c>
      <c r="D6" s="31">
        <v>3</v>
      </c>
      <c r="E6" s="32" t="s">
        <v>43</v>
      </c>
      <c r="F6" s="32"/>
    </row>
    <row r="7" spans="1:6" x14ac:dyDescent="0.55000000000000004">
      <c r="A7" s="33">
        <v>3</v>
      </c>
      <c r="B7" s="34" t="s">
        <v>44</v>
      </c>
      <c r="C7" s="35" t="s">
        <v>3</v>
      </c>
      <c r="D7" s="35">
        <v>2</v>
      </c>
      <c r="E7" s="36" t="s">
        <v>45</v>
      </c>
      <c r="F7" s="36"/>
    </row>
    <row r="8" spans="1:6" x14ac:dyDescent="0.55000000000000004">
      <c r="A8" s="37">
        <v>3</v>
      </c>
      <c r="B8" s="38" t="s">
        <v>46</v>
      </c>
      <c r="C8" s="39" t="s">
        <v>3</v>
      </c>
      <c r="D8" s="39">
        <v>2</v>
      </c>
      <c r="E8" s="40" t="s">
        <v>47</v>
      </c>
      <c r="F8" s="40"/>
    </row>
    <row r="9" spans="1:6" x14ac:dyDescent="0.55000000000000004">
      <c r="A9" s="33">
        <v>3</v>
      </c>
      <c r="B9" s="34" t="s">
        <v>48</v>
      </c>
      <c r="C9" s="35" t="s">
        <v>3</v>
      </c>
      <c r="D9" s="35">
        <v>2</v>
      </c>
      <c r="E9" s="36" t="s">
        <v>49</v>
      </c>
      <c r="F9" s="36"/>
    </row>
    <row r="10" spans="1:6" x14ac:dyDescent="0.55000000000000004">
      <c r="A10" s="37">
        <v>3</v>
      </c>
      <c r="B10" s="38" t="s">
        <v>50</v>
      </c>
      <c r="C10" s="39" t="s">
        <v>3</v>
      </c>
      <c r="D10" s="39">
        <v>2</v>
      </c>
      <c r="E10" s="40" t="s">
        <v>51</v>
      </c>
      <c r="F10" s="40"/>
    </row>
    <row r="11" spans="1:6" ht="24.6" x14ac:dyDescent="0.55000000000000004">
      <c r="A11" s="33">
        <v>3</v>
      </c>
      <c r="B11" s="34" t="s">
        <v>52</v>
      </c>
      <c r="C11" s="35" t="s">
        <v>3</v>
      </c>
      <c r="D11" s="35">
        <v>2</v>
      </c>
      <c r="E11" s="36" t="s">
        <v>53</v>
      </c>
      <c r="F11" s="36" t="s">
        <v>54</v>
      </c>
    </row>
    <row r="12" spans="1:6" x14ac:dyDescent="0.55000000000000004">
      <c r="A12" s="37">
        <v>3</v>
      </c>
      <c r="B12" s="38" t="s">
        <v>55</v>
      </c>
      <c r="C12" s="39" t="s">
        <v>3</v>
      </c>
      <c r="D12" s="39">
        <v>2</v>
      </c>
      <c r="E12" s="40" t="s">
        <v>56</v>
      </c>
      <c r="F12" s="40" t="s">
        <v>57</v>
      </c>
    </row>
    <row r="13" spans="1:6" x14ac:dyDescent="0.55000000000000004">
      <c r="A13" s="33">
        <v>3</v>
      </c>
      <c r="B13" s="34" t="s">
        <v>58</v>
      </c>
      <c r="C13" s="35" t="s">
        <v>3</v>
      </c>
      <c r="D13" s="35">
        <v>2</v>
      </c>
      <c r="E13" s="36" t="s">
        <v>59</v>
      </c>
      <c r="F13" s="36"/>
    </row>
    <row r="14" spans="1:6" x14ac:dyDescent="0.55000000000000004">
      <c r="A14" s="37">
        <v>3</v>
      </c>
      <c r="B14" s="38" t="s">
        <v>60</v>
      </c>
      <c r="C14" s="39" t="s">
        <v>3</v>
      </c>
      <c r="D14" s="39">
        <v>2</v>
      </c>
      <c r="E14" s="40" t="s">
        <v>61</v>
      </c>
      <c r="F14" s="40"/>
    </row>
    <row r="15" spans="1:6" x14ac:dyDescent="0.55000000000000004">
      <c r="A15" s="33">
        <v>3</v>
      </c>
      <c r="B15" s="34" t="s">
        <v>62</v>
      </c>
      <c r="C15" s="35" t="s">
        <v>3</v>
      </c>
      <c r="D15" s="35">
        <v>2</v>
      </c>
      <c r="E15" s="36" t="s">
        <v>63</v>
      </c>
      <c r="F15" s="36" t="s">
        <v>64</v>
      </c>
    </row>
    <row r="16" spans="1:6" x14ac:dyDescent="0.55000000000000004">
      <c r="A16" s="37">
        <v>3</v>
      </c>
      <c r="B16" s="38" t="s">
        <v>65</v>
      </c>
      <c r="C16" s="39" t="s">
        <v>4</v>
      </c>
      <c r="D16" s="39">
        <v>2</v>
      </c>
      <c r="E16" s="40" t="s">
        <v>66</v>
      </c>
      <c r="F16" s="40"/>
    </row>
    <row r="17" spans="1:6" ht="24.6" x14ac:dyDescent="0.55000000000000004">
      <c r="A17" s="33">
        <v>3</v>
      </c>
      <c r="B17" s="34" t="s">
        <v>67</v>
      </c>
      <c r="C17" s="35" t="s">
        <v>4</v>
      </c>
      <c r="D17" s="35">
        <v>2</v>
      </c>
      <c r="E17" s="36" t="s">
        <v>68</v>
      </c>
      <c r="F17" s="36" t="s">
        <v>69</v>
      </c>
    </row>
    <row r="18" spans="1:6" x14ac:dyDescent="0.55000000000000004">
      <c r="A18" s="37">
        <v>3</v>
      </c>
      <c r="B18" s="38" t="s">
        <v>70</v>
      </c>
      <c r="C18" s="39" t="s">
        <v>4</v>
      </c>
      <c r="D18" s="39">
        <v>2</v>
      </c>
      <c r="E18" s="40" t="s">
        <v>71</v>
      </c>
      <c r="F18" s="40"/>
    </row>
    <row r="19" spans="1:6" ht="24.6" x14ac:dyDescent="0.55000000000000004">
      <c r="A19" s="33">
        <v>3</v>
      </c>
      <c r="B19" s="34" t="s">
        <v>72</v>
      </c>
      <c r="C19" s="35" t="s">
        <v>4</v>
      </c>
      <c r="D19" s="35">
        <v>2</v>
      </c>
      <c r="E19" s="36" t="s">
        <v>73</v>
      </c>
      <c r="F19" s="36" t="s">
        <v>74</v>
      </c>
    </row>
    <row r="20" spans="1:6" ht="24.6" x14ac:dyDescent="0.55000000000000004">
      <c r="A20" s="37">
        <v>3</v>
      </c>
      <c r="B20" s="38" t="s">
        <v>75</v>
      </c>
      <c r="C20" s="39" t="s">
        <v>4</v>
      </c>
      <c r="D20" s="39">
        <v>2</v>
      </c>
      <c r="E20" s="40" t="s">
        <v>76</v>
      </c>
      <c r="F20" s="40" t="s">
        <v>77</v>
      </c>
    </row>
    <row r="21" spans="1:6" x14ac:dyDescent="0.55000000000000004">
      <c r="A21" s="33">
        <v>3</v>
      </c>
      <c r="B21" s="34" t="s">
        <v>78</v>
      </c>
      <c r="C21" s="35" t="s">
        <v>4</v>
      </c>
      <c r="D21" s="35">
        <v>2</v>
      </c>
      <c r="E21" s="36" t="s">
        <v>79</v>
      </c>
      <c r="F21" s="36"/>
    </row>
    <row r="22" spans="1:6" ht="24.6" x14ac:dyDescent="0.55000000000000004">
      <c r="A22" s="37">
        <v>3</v>
      </c>
      <c r="B22" s="38" t="s">
        <v>80</v>
      </c>
      <c r="C22" s="39" t="s">
        <v>4</v>
      </c>
      <c r="D22" s="39">
        <v>2</v>
      </c>
      <c r="E22" s="40" t="s">
        <v>81</v>
      </c>
      <c r="F22" s="40" t="s">
        <v>82</v>
      </c>
    </row>
    <row r="24" spans="1:6" x14ac:dyDescent="0.55000000000000004">
      <c r="A24" s="41" t="s">
        <v>25</v>
      </c>
    </row>
    <row r="25" spans="1:6" ht="32.049999999999997" customHeight="1" x14ac:dyDescent="0.55000000000000004">
      <c r="A25" s="48" t="s">
        <v>83</v>
      </c>
      <c r="B25" s="43"/>
      <c r="C25" s="43"/>
      <c r="D25" s="43"/>
      <c r="E25" s="43"/>
      <c r="F25" s="43"/>
    </row>
    <row r="26" spans="1:6" ht="32.049999999999997" customHeight="1" x14ac:dyDescent="0.55000000000000004">
      <c r="A26" s="48" t="s">
        <v>84</v>
      </c>
      <c r="B26" s="43"/>
      <c r="C26" s="43"/>
      <c r="D26" s="43"/>
      <c r="E26" s="43"/>
      <c r="F26" s="43"/>
    </row>
    <row r="27" spans="1:6" ht="32.049999999999997" customHeight="1" x14ac:dyDescent="0.55000000000000004">
      <c r="A27" s="48" t="s">
        <v>85</v>
      </c>
      <c r="B27" s="43"/>
      <c r="C27" s="43"/>
      <c r="D27" s="43"/>
      <c r="E27" s="43"/>
      <c r="F27" s="43"/>
    </row>
    <row r="28" spans="1:6" ht="32.049999999999997" customHeight="1" x14ac:dyDescent="0.55000000000000004">
      <c r="A28" s="48" t="s">
        <v>86</v>
      </c>
      <c r="B28" s="43"/>
      <c r="C28" s="43"/>
      <c r="D28" s="43"/>
      <c r="E28" s="43"/>
      <c r="F28" s="43"/>
    </row>
    <row r="29" spans="1:6" ht="32.049999999999997" customHeight="1" x14ac:dyDescent="0.55000000000000004">
      <c r="A29" s="48" t="s">
        <v>87</v>
      </c>
      <c r="B29" s="43"/>
      <c r="C29" s="43"/>
      <c r="D29" s="43"/>
      <c r="E29" s="43"/>
      <c r="F29" s="43"/>
    </row>
    <row r="30" spans="1:6" ht="32.049999999999997" customHeight="1" x14ac:dyDescent="0.55000000000000004">
      <c r="A30" s="48" t="s">
        <v>88</v>
      </c>
      <c r="B30" s="43"/>
      <c r="C30" s="43"/>
      <c r="D30" s="43"/>
      <c r="E30" s="43"/>
      <c r="F30" s="43"/>
    </row>
  </sheetData>
  <mergeCells count="8">
    <mergeCell ref="A1:F1"/>
    <mergeCell ref="A27:F27"/>
    <mergeCell ref="A26:F26"/>
    <mergeCell ref="A30:F30"/>
    <mergeCell ref="A29:F29"/>
    <mergeCell ref="A25:F25"/>
    <mergeCell ref="A2:F2"/>
    <mergeCell ref="A28:F28"/>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87"/>
  <sheetViews>
    <sheetView zoomScaleNormal="100" workbookViewId="0">
      <pane ySplit="4" topLeftCell="A5" activePane="bottomLeft" state="frozen"/>
      <selection pane="bottomLeft" activeCell="A3" sqref="A3"/>
    </sheetView>
  </sheetViews>
  <sheetFormatPr defaultColWidth="8.68359375" defaultRowHeight="14.4" x14ac:dyDescent="0.55000000000000004"/>
  <cols>
    <col min="1" max="1" width="10" customWidth="1"/>
    <col min="2" max="2" width="6" customWidth="1"/>
    <col min="3" max="3" width="26" customWidth="1"/>
    <col min="4" max="4" width="16" customWidth="1"/>
    <col min="5" max="5" width="6" customWidth="1"/>
    <col min="6" max="6" width="5" customWidth="1"/>
    <col min="7" max="7" width="10" customWidth="1"/>
    <col min="8" max="8" width="20" customWidth="1"/>
    <col min="9" max="9" width="8" customWidth="1"/>
    <col min="10" max="10" width="28" customWidth="1"/>
    <col min="11" max="11" width="12" customWidth="1"/>
    <col min="12" max="12" width="45" customWidth="1"/>
  </cols>
  <sheetData>
    <row r="1" spans="1:12" ht="17.350000000000001" customHeight="1" x14ac:dyDescent="0.6">
      <c r="A1" s="50" t="s">
        <v>89</v>
      </c>
      <c r="B1" s="43"/>
      <c r="C1" s="43"/>
      <c r="D1" s="43"/>
      <c r="E1" s="43"/>
      <c r="F1" s="43"/>
      <c r="G1" s="43"/>
      <c r="H1" s="43"/>
      <c r="I1" s="43"/>
      <c r="J1" s="43"/>
      <c r="K1" s="43"/>
      <c r="L1" s="43"/>
    </row>
    <row r="2" spans="1:12" ht="15" customHeight="1" x14ac:dyDescent="0.55000000000000004">
      <c r="A2" s="42" t="s">
        <v>90</v>
      </c>
      <c r="B2" s="43"/>
      <c r="C2" s="43"/>
      <c r="D2" s="43"/>
      <c r="E2" s="43"/>
      <c r="F2" s="43"/>
      <c r="G2" s="43"/>
      <c r="H2" s="43"/>
      <c r="I2" s="43"/>
      <c r="J2" s="43"/>
      <c r="K2" s="43"/>
      <c r="L2" s="43"/>
    </row>
    <row r="3" spans="1:12" x14ac:dyDescent="0.55000000000000004">
      <c r="A3" t="s">
        <v>621</v>
      </c>
    </row>
    <row r="4" spans="1:12" ht="23.85" customHeight="1" x14ac:dyDescent="0.55000000000000004">
      <c r="A4" s="10" t="s">
        <v>91</v>
      </c>
      <c r="B4" s="10" t="s">
        <v>92</v>
      </c>
      <c r="C4" s="10" t="s">
        <v>93</v>
      </c>
      <c r="D4" s="10" t="s">
        <v>94</v>
      </c>
      <c r="E4" s="10" t="s">
        <v>95</v>
      </c>
      <c r="F4" s="10" t="s">
        <v>96</v>
      </c>
      <c r="G4" s="10" t="s">
        <v>97</v>
      </c>
      <c r="H4" s="10" t="s">
        <v>98</v>
      </c>
      <c r="I4" s="10" t="s">
        <v>99</v>
      </c>
      <c r="J4" s="10" t="s">
        <v>100</v>
      </c>
      <c r="K4" s="10" t="s">
        <v>101</v>
      </c>
      <c r="L4" s="10" t="s">
        <v>39</v>
      </c>
    </row>
    <row r="5" spans="1:12" ht="15" customHeight="1" x14ac:dyDescent="0.55000000000000004">
      <c r="A5" s="11" t="s">
        <v>102</v>
      </c>
      <c r="B5" s="11">
        <v>5</v>
      </c>
      <c r="C5" s="3" t="s">
        <v>103</v>
      </c>
      <c r="D5" s="3" t="s">
        <v>23</v>
      </c>
      <c r="E5" s="11">
        <v>19</v>
      </c>
      <c r="F5" s="11" t="s">
        <v>104</v>
      </c>
      <c r="G5" s="11" t="s">
        <v>105</v>
      </c>
      <c r="H5" s="3" t="s">
        <v>106</v>
      </c>
      <c r="I5" s="11" t="s">
        <v>107</v>
      </c>
      <c r="J5" s="3" t="s">
        <v>108</v>
      </c>
      <c r="K5" s="11">
        <v>256</v>
      </c>
      <c r="L5" s="12"/>
    </row>
    <row r="6" spans="1:12" ht="15" customHeight="1" x14ac:dyDescent="0.55000000000000004">
      <c r="A6" s="13" t="s">
        <v>102</v>
      </c>
      <c r="B6" s="13">
        <v>10</v>
      </c>
      <c r="C6" s="14" t="s">
        <v>109</v>
      </c>
      <c r="D6" s="14" t="s">
        <v>21</v>
      </c>
      <c r="E6" s="13">
        <v>20</v>
      </c>
      <c r="F6" s="13" t="s">
        <v>104</v>
      </c>
      <c r="G6" s="13" t="s">
        <v>105</v>
      </c>
      <c r="H6" s="14" t="s">
        <v>110</v>
      </c>
      <c r="I6" s="13" t="s">
        <v>107</v>
      </c>
      <c r="J6" s="14" t="s">
        <v>111</v>
      </c>
      <c r="K6" s="13">
        <v>258</v>
      </c>
      <c r="L6" s="15"/>
    </row>
    <row r="7" spans="1:12" ht="15" customHeight="1" x14ac:dyDescent="0.55000000000000004">
      <c r="A7" s="11" t="s">
        <v>102</v>
      </c>
      <c r="B7" s="11">
        <v>14</v>
      </c>
      <c r="C7" s="3" t="s">
        <v>112</v>
      </c>
      <c r="D7" s="3" t="s">
        <v>21</v>
      </c>
      <c r="E7" s="11">
        <v>26</v>
      </c>
      <c r="F7" s="11" t="s">
        <v>104</v>
      </c>
      <c r="G7" s="11" t="s">
        <v>105</v>
      </c>
      <c r="H7" s="3" t="s">
        <v>113</v>
      </c>
      <c r="I7" s="11" t="s">
        <v>107</v>
      </c>
      <c r="J7" s="3" t="s">
        <v>114</v>
      </c>
      <c r="K7" s="11">
        <v>259</v>
      </c>
      <c r="L7" s="12"/>
    </row>
    <row r="8" spans="1:12" ht="15" customHeight="1" x14ac:dyDescent="0.55000000000000004">
      <c r="A8" s="13" t="s">
        <v>102</v>
      </c>
      <c r="B8" s="13">
        <v>21</v>
      </c>
      <c r="C8" s="14" t="s">
        <v>115</v>
      </c>
      <c r="D8" s="14" t="s">
        <v>21</v>
      </c>
      <c r="E8" s="13">
        <v>22</v>
      </c>
      <c r="F8" s="13" t="s">
        <v>104</v>
      </c>
      <c r="G8" s="13" t="s">
        <v>105</v>
      </c>
      <c r="H8" s="14" t="s">
        <v>116</v>
      </c>
      <c r="I8" s="13" t="s">
        <v>107</v>
      </c>
      <c r="J8" s="14" t="s">
        <v>117</v>
      </c>
      <c r="K8" s="13">
        <v>260</v>
      </c>
      <c r="L8" s="15"/>
    </row>
    <row r="9" spans="1:12" ht="15" customHeight="1" x14ac:dyDescent="0.55000000000000004">
      <c r="A9" s="11" t="s">
        <v>102</v>
      </c>
      <c r="B9" s="11">
        <v>30</v>
      </c>
      <c r="C9" s="3" t="s">
        <v>118</v>
      </c>
      <c r="D9" s="3" t="s">
        <v>21</v>
      </c>
      <c r="E9" s="11">
        <v>22</v>
      </c>
      <c r="F9" s="11" t="s">
        <v>104</v>
      </c>
      <c r="G9" s="11" t="s">
        <v>105</v>
      </c>
      <c r="H9" s="3" t="s">
        <v>110</v>
      </c>
      <c r="I9" s="11" t="s">
        <v>107</v>
      </c>
      <c r="J9" s="3" t="s">
        <v>119</v>
      </c>
      <c r="K9" s="11">
        <v>263</v>
      </c>
      <c r="L9" s="12"/>
    </row>
    <row r="10" spans="1:12" ht="15" customHeight="1" x14ac:dyDescent="0.55000000000000004">
      <c r="A10" s="13" t="s">
        <v>102</v>
      </c>
      <c r="B10" s="13">
        <v>37</v>
      </c>
      <c r="C10" s="14" t="s">
        <v>120</v>
      </c>
      <c r="D10" s="14" t="s">
        <v>121</v>
      </c>
      <c r="E10" s="13">
        <v>30</v>
      </c>
      <c r="F10" s="13" t="s">
        <v>104</v>
      </c>
      <c r="G10" s="13" t="s">
        <v>105</v>
      </c>
      <c r="H10" s="14" t="s">
        <v>116</v>
      </c>
      <c r="I10" s="13" t="s">
        <v>107</v>
      </c>
      <c r="J10" s="14" t="s">
        <v>44</v>
      </c>
      <c r="K10" s="13">
        <v>265</v>
      </c>
      <c r="L10" s="15"/>
    </row>
    <row r="11" spans="1:12" ht="15" customHeight="1" x14ac:dyDescent="0.55000000000000004">
      <c r="A11" s="11" t="s">
        <v>102</v>
      </c>
      <c r="B11" s="11">
        <v>38</v>
      </c>
      <c r="C11" s="3" t="s">
        <v>122</v>
      </c>
      <c r="D11" s="3" t="s">
        <v>21</v>
      </c>
      <c r="E11" s="11">
        <v>20</v>
      </c>
      <c r="F11" s="11" t="s">
        <v>104</v>
      </c>
      <c r="G11" s="11" t="s">
        <v>105</v>
      </c>
      <c r="H11" s="3" t="s">
        <v>110</v>
      </c>
      <c r="I11" s="11" t="s">
        <v>107</v>
      </c>
      <c r="J11" s="3" t="s">
        <v>44</v>
      </c>
      <c r="K11" s="11">
        <v>265</v>
      </c>
      <c r="L11" s="12"/>
    </row>
    <row r="12" spans="1:12" ht="15" customHeight="1" x14ac:dyDescent="0.55000000000000004">
      <c r="A12" s="13" t="s">
        <v>123</v>
      </c>
      <c r="B12" s="13">
        <v>51</v>
      </c>
      <c r="C12" s="14" t="s">
        <v>124</v>
      </c>
      <c r="D12" s="14" t="s">
        <v>21</v>
      </c>
      <c r="E12" s="13">
        <v>18</v>
      </c>
      <c r="F12" s="13" t="s">
        <v>104</v>
      </c>
      <c r="G12" s="13" t="s">
        <v>105</v>
      </c>
      <c r="H12" s="14" t="s">
        <v>125</v>
      </c>
      <c r="I12" s="13" t="s">
        <v>107</v>
      </c>
      <c r="J12" s="14" t="s">
        <v>126</v>
      </c>
      <c r="K12" s="13">
        <v>269</v>
      </c>
      <c r="L12" s="15"/>
    </row>
    <row r="13" spans="1:12" ht="15" customHeight="1" x14ac:dyDescent="0.55000000000000004">
      <c r="A13" s="16" t="s">
        <v>123</v>
      </c>
      <c r="B13" s="16">
        <v>60</v>
      </c>
      <c r="C13" s="17" t="s">
        <v>127</v>
      </c>
      <c r="D13" s="17" t="s">
        <v>21</v>
      </c>
      <c r="E13" s="16">
        <v>20</v>
      </c>
      <c r="F13" s="16" t="s">
        <v>104</v>
      </c>
      <c r="G13" s="16" t="s">
        <v>105</v>
      </c>
      <c r="H13" s="17" t="s">
        <v>110</v>
      </c>
      <c r="I13" s="16" t="s">
        <v>107</v>
      </c>
      <c r="J13" s="17" t="s">
        <v>128</v>
      </c>
      <c r="K13" s="16">
        <v>272</v>
      </c>
      <c r="L13" s="18" t="s">
        <v>129</v>
      </c>
    </row>
    <row r="14" spans="1:12" ht="15" customHeight="1" x14ac:dyDescent="0.55000000000000004">
      <c r="A14" s="16" t="s">
        <v>123</v>
      </c>
      <c r="B14" s="16">
        <v>70</v>
      </c>
      <c r="C14" s="17" t="s">
        <v>130</v>
      </c>
      <c r="D14" s="17" t="s">
        <v>21</v>
      </c>
      <c r="E14" s="16">
        <v>20</v>
      </c>
      <c r="F14" s="16" t="s">
        <v>104</v>
      </c>
      <c r="G14" s="16" t="s">
        <v>105</v>
      </c>
      <c r="H14" s="17" t="s">
        <v>131</v>
      </c>
      <c r="I14" s="16" t="s">
        <v>107</v>
      </c>
      <c r="J14" s="17" t="s">
        <v>132</v>
      </c>
      <c r="K14" s="16">
        <v>275</v>
      </c>
      <c r="L14" s="18" t="s">
        <v>133</v>
      </c>
    </row>
    <row r="15" spans="1:12" ht="15" customHeight="1" x14ac:dyDescent="0.55000000000000004">
      <c r="A15" s="16" t="s">
        <v>123</v>
      </c>
      <c r="B15" s="16">
        <v>80</v>
      </c>
      <c r="C15" s="17" t="s">
        <v>134</v>
      </c>
      <c r="D15" s="17" t="s">
        <v>21</v>
      </c>
      <c r="E15" s="16">
        <v>35</v>
      </c>
      <c r="F15" s="16" t="s">
        <v>104</v>
      </c>
      <c r="G15" s="16" t="s">
        <v>105</v>
      </c>
      <c r="H15" s="17" t="s">
        <v>110</v>
      </c>
      <c r="I15" s="16" t="s">
        <v>107</v>
      </c>
      <c r="J15" s="17" t="s">
        <v>135</v>
      </c>
      <c r="K15" s="16">
        <v>279</v>
      </c>
      <c r="L15" s="18" t="s">
        <v>57</v>
      </c>
    </row>
    <row r="16" spans="1:12" ht="15" customHeight="1" x14ac:dyDescent="0.55000000000000004">
      <c r="A16" s="13" t="s">
        <v>123</v>
      </c>
      <c r="B16" s="13">
        <v>85</v>
      </c>
      <c r="C16" s="14" t="s">
        <v>136</v>
      </c>
      <c r="D16" s="14" t="s">
        <v>21</v>
      </c>
      <c r="E16" s="13">
        <v>39</v>
      </c>
      <c r="F16" s="13" t="s">
        <v>104</v>
      </c>
      <c r="G16" s="13" t="s">
        <v>105</v>
      </c>
      <c r="H16" s="14" t="s">
        <v>137</v>
      </c>
      <c r="I16" s="13" t="s">
        <v>107</v>
      </c>
      <c r="J16" s="14" t="s">
        <v>138</v>
      </c>
      <c r="K16" s="13">
        <v>280</v>
      </c>
      <c r="L16" s="15"/>
    </row>
    <row r="17" spans="1:12" ht="15" customHeight="1" x14ac:dyDescent="0.55000000000000004">
      <c r="A17" s="11" t="s">
        <v>123</v>
      </c>
      <c r="B17" s="11">
        <v>91</v>
      </c>
      <c r="C17" s="3" t="s">
        <v>139</v>
      </c>
      <c r="D17" s="3" t="s">
        <v>121</v>
      </c>
      <c r="E17" s="11">
        <v>44</v>
      </c>
      <c r="F17" s="11" t="s">
        <v>104</v>
      </c>
      <c r="G17" s="11" t="s">
        <v>105</v>
      </c>
      <c r="H17" s="3" t="s">
        <v>106</v>
      </c>
      <c r="I17" s="11" t="s">
        <v>107</v>
      </c>
      <c r="J17" s="3" t="s">
        <v>140</v>
      </c>
      <c r="K17" s="11">
        <v>282</v>
      </c>
      <c r="L17" s="12"/>
    </row>
    <row r="18" spans="1:12" ht="15" customHeight="1" x14ac:dyDescent="0.55000000000000004">
      <c r="A18" s="13" t="s">
        <v>141</v>
      </c>
      <c r="B18" s="13">
        <v>3</v>
      </c>
      <c r="C18" s="14" t="s">
        <v>142</v>
      </c>
      <c r="D18" s="14" t="s">
        <v>21</v>
      </c>
      <c r="E18" s="13">
        <v>20</v>
      </c>
      <c r="F18" s="13" t="s">
        <v>104</v>
      </c>
      <c r="G18" s="13" t="s">
        <v>105</v>
      </c>
      <c r="H18" s="14" t="s">
        <v>143</v>
      </c>
      <c r="I18" s="13" t="s">
        <v>107</v>
      </c>
      <c r="J18" s="14" t="s">
        <v>144</v>
      </c>
      <c r="K18" s="13">
        <v>285</v>
      </c>
      <c r="L18" s="15"/>
    </row>
    <row r="19" spans="1:12" ht="15" customHeight="1" x14ac:dyDescent="0.55000000000000004">
      <c r="A19" s="16" t="s">
        <v>141</v>
      </c>
      <c r="B19" s="16">
        <v>19</v>
      </c>
      <c r="C19" s="17" t="s">
        <v>145</v>
      </c>
      <c r="D19" s="17" t="s">
        <v>21</v>
      </c>
      <c r="E19" s="16">
        <v>23</v>
      </c>
      <c r="F19" s="16" t="s">
        <v>104</v>
      </c>
      <c r="G19" s="16" t="s">
        <v>105</v>
      </c>
      <c r="H19" s="17" t="s">
        <v>146</v>
      </c>
      <c r="I19" s="16" t="s">
        <v>107</v>
      </c>
      <c r="J19" s="17" t="s">
        <v>147</v>
      </c>
      <c r="K19" s="16">
        <v>290</v>
      </c>
      <c r="L19" s="18" t="s">
        <v>148</v>
      </c>
    </row>
    <row r="20" spans="1:12" ht="15" customHeight="1" x14ac:dyDescent="0.55000000000000004">
      <c r="A20" s="16" t="s">
        <v>141</v>
      </c>
      <c r="B20" s="16">
        <v>23</v>
      </c>
      <c r="C20" s="17" t="s">
        <v>149</v>
      </c>
      <c r="D20" s="17" t="s">
        <v>121</v>
      </c>
      <c r="E20" s="16">
        <v>24</v>
      </c>
      <c r="F20" s="16" t="s">
        <v>104</v>
      </c>
      <c r="G20" s="16" t="s">
        <v>105</v>
      </c>
      <c r="H20" s="17" t="s">
        <v>110</v>
      </c>
      <c r="I20" s="16" t="s">
        <v>107</v>
      </c>
      <c r="J20" s="17" t="s">
        <v>46</v>
      </c>
      <c r="K20" s="16">
        <v>309</v>
      </c>
      <c r="L20" s="18" t="s">
        <v>133</v>
      </c>
    </row>
    <row r="21" spans="1:12" ht="15" customHeight="1" x14ac:dyDescent="0.55000000000000004">
      <c r="A21" s="11" t="s">
        <v>141</v>
      </c>
      <c r="B21" s="11">
        <v>24</v>
      </c>
      <c r="C21" s="3" t="s">
        <v>150</v>
      </c>
      <c r="D21" s="3" t="s">
        <v>151</v>
      </c>
      <c r="E21" s="11">
        <v>46</v>
      </c>
      <c r="F21" s="11" t="s">
        <v>104</v>
      </c>
      <c r="G21" s="11" t="s">
        <v>105</v>
      </c>
      <c r="H21" s="3" t="s">
        <v>110</v>
      </c>
      <c r="I21" s="11" t="s">
        <v>107</v>
      </c>
      <c r="J21" s="3" t="s">
        <v>46</v>
      </c>
      <c r="K21" s="11">
        <v>309</v>
      </c>
      <c r="L21" s="12"/>
    </row>
    <row r="22" spans="1:12" ht="15" customHeight="1" x14ac:dyDescent="0.55000000000000004">
      <c r="A22" s="16" t="s">
        <v>141</v>
      </c>
      <c r="B22" s="16">
        <v>30</v>
      </c>
      <c r="C22" s="17" t="s">
        <v>152</v>
      </c>
      <c r="D22" s="17" t="s">
        <v>121</v>
      </c>
      <c r="E22" s="16">
        <v>27</v>
      </c>
      <c r="F22" s="16" t="s">
        <v>104</v>
      </c>
      <c r="G22" s="16" t="s">
        <v>105</v>
      </c>
      <c r="H22" s="17" t="s">
        <v>113</v>
      </c>
      <c r="I22" s="16" t="s">
        <v>107</v>
      </c>
      <c r="J22" s="17" t="s">
        <v>153</v>
      </c>
      <c r="K22" s="16">
        <v>311</v>
      </c>
      <c r="L22" s="18" t="s">
        <v>154</v>
      </c>
    </row>
    <row r="23" spans="1:12" ht="15" customHeight="1" x14ac:dyDescent="0.55000000000000004">
      <c r="A23" s="11" t="s">
        <v>141</v>
      </c>
      <c r="B23" s="11">
        <v>37</v>
      </c>
      <c r="C23" s="3" t="s">
        <v>155</v>
      </c>
      <c r="D23" s="3" t="s">
        <v>21</v>
      </c>
      <c r="E23" s="11">
        <v>21</v>
      </c>
      <c r="F23" s="11" t="s">
        <v>104</v>
      </c>
      <c r="G23" s="11" t="s">
        <v>105</v>
      </c>
      <c r="H23" s="3" t="s">
        <v>110</v>
      </c>
      <c r="I23" s="11" t="s">
        <v>107</v>
      </c>
      <c r="J23" s="3" t="s">
        <v>70</v>
      </c>
      <c r="K23" s="11">
        <v>314</v>
      </c>
      <c r="L23" s="12"/>
    </row>
    <row r="24" spans="1:12" ht="15" customHeight="1" x14ac:dyDescent="0.55000000000000004">
      <c r="A24" s="13" t="s">
        <v>141</v>
      </c>
      <c r="B24" s="13">
        <v>45</v>
      </c>
      <c r="C24" s="14" t="s">
        <v>156</v>
      </c>
      <c r="D24" s="14" t="s">
        <v>21</v>
      </c>
      <c r="E24" s="13">
        <v>19</v>
      </c>
      <c r="F24" s="13" t="s">
        <v>104</v>
      </c>
      <c r="G24" s="13" t="s">
        <v>105</v>
      </c>
      <c r="H24" s="14" t="s">
        <v>110</v>
      </c>
      <c r="I24" s="13" t="s">
        <v>107</v>
      </c>
      <c r="J24" s="14" t="s">
        <v>157</v>
      </c>
      <c r="K24" s="13">
        <v>316</v>
      </c>
      <c r="L24" s="15"/>
    </row>
    <row r="25" spans="1:12" ht="15" customHeight="1" x14ac:dyDescent="0.55000000000000004">
      <c r="A25" s="11" t="s">
        <v>141</v>
      </c>
      <c r="B25" s="11">
        <v>48</v>
      </c>
      <c r="C25" s="3" t="s">
        <v>158</v>
      </c>
      <c r="D25" s="3" t="s">
        <v>21</v>
      </c>
      <c r="E25" s="11">
        <v>24</v>
      </c>
      <c r="F25" s="11" t="s">
        <v>104</v>
      </c>
      <c r="G25" s="11" t="s">
        <v>105</v>
      </c>
      <c r="H25" s="3" t="s">
        <v>110</v>
      </c>
      <c r="I25" s="11" t="s">
        <v>107</v>
      </c>
      <c r="J25" s="3" t="s">
        <v>159</v>
      </c>
      <c r="K25" s="11">
        <v>317</v>
      </c>
      <c r="L25" s="12"/>
    </row>
    <row r="26" spans="1:12" ht="15" customHeight="1" x14ac:dyDescent="0.55000000000000004">
      <c r="A26" s="13" t="s">
        <v>160</v>
      </c>
      <c r="B26" s="13">
        <v>57</v>
      </c>
      <c r="C26" s="14" t="s">
        <v>161</v>
      </c>
      <c r="D26" s="14" t="s">
        <v>21</v>
      </c>
      <c r="E26" s="13">
        <v>38</v>
      </c>
      <c r="F26" s="13" t="s">
        <v>104</v>
      </c>
      <c r="G26" s="13" t="s">
        <v>105</v>
      </c>
      <c r="H26" s="14" t="s">
        <v>162</v>
      </c>
      <c r="I26" s="13" t="s">
        <v>107</v>
      </c>
      <c r="J26" s="14" t="s">
        <v>163</v>
      </c>
      <c r="K26" s="13">
        <v>322</v>
      </c>
      <c r="L26" s="15"/>
    </row>
    <row r="27" spans="1:12" ht="15" customHeight="1" x14ac:dyDescent="0.55000000000000004">
      <c r="A27" s="11" t="s">
        <v>160</v>
      </c>
      <c r="B27" s="11">
        <v>62</v>
      </c>
      <c r="C27" s="3" t="s">
        <v>164</v>
      </c>
      <c r="D27" s="3" t="s">
        <v>21</v>
      </c>
      <c r="E27" s="11">
        <v>26</v>
      </c>
      <c r="F27" s="11" t="s">
        <v>104</v>
      </c>
      <c r="G27" s="11" t="s">
        <v>105</v>
      </c>
      <c r="H27" s="3" t="s">
        <v>116</v>
      </c>
      <c r="I27" s="11" t="s">
        <v>107</v>
      </c>
      <c r="J27" s="3" t="s">
        <v>165</v>
      </c>
      <c r="K27" s="11">
        <v>323</v>
      </c>
      <c r="L27" s="12"/>
    </row>
    <row r="28" spans="1:12" ht="15" customHeight="1" x14ac:dyDescent="0.55000000000000004">
      <c r="A28" s="16" t="s">
        <v>160</v>
      </c>
      <c r="B28" s="16">
        <v>78</v>
      </c>
      <c r="C28" s="17" t="s">
        <v>166</v>
      </c>
      <c r="D28" s="17" t="s">
        <v>151</v>
      </c>
      <c r="E28" s="16">
        <v>50</v>
      </c>
      <c r="F28" s="16" t="s">
        <v>104</v>
      </c>
      <c r="G28" s="16" t="s">
        <v>105</v>
      </c>
      <c r="H28" s="17" t="s">
        <v>167</v>
      </c>
      <c r="I28" s="16" t="s">
        <v>107</v>
      </c>
      <c r="J28" s="17" t="s">
        <v>48</v>
      </c>
      <c r="K28" s="16">
        <v>331</v>
      </c>
      <c r="L28" s="18" t="s">
        <v>154</v>
      </c>
    </row>
    <row r="29" spans="1:12" ht="15" customHeight="1" x14ac:dyDescent="0.55000000000000004">
      <c r="A29" s="16" t="s">
        <v>160</v>
      </c>
      <c r="B29" s="16">
        <v>79</v>
      </c>
      <c r="C29" s="17" t="s">
        <v>168</v>
      </c>
      <c r="D29" s="17" t="s">
        <v>21</v>
      </c>
      <c r="E29" s="16">
        <v>29</v>
      </c>
      <c r="F29" s="16" t="s">
        <v>104</v>
      </c>
      <c r="G29" s="16" t="s">
        <v>105</v>
      </c>
      <c r="H29" s="17" t="s">
        <v>113</v>
      </c>
      <c r="I29" s="16" t="s">
        <v>107</v>
      </c>
      <c r="J29" s="17" t="s">
        <v>48</v>
      </c>
      <c r="K29" s="16">
        <v>331</v>
      </c>
      <c r="L29" s="18" t="s">
        <v>133</v>
      </c>
    </row>
    <row r="30" spans="1:12" ht="15" customHeight="1" x14ac:dyDescent="0.55000000000000004">
      <c r="A30" s="13" t="s">
        <v>160</v>
      </c>
      <c r="B30" s="13">
        <v>86</v>
      </c>
      <c r="C30" s="14" t="s">
        <v>169</v>
      </c>
      <c r="D30" s="14" t="s">
        <v>21</v>
      </c>
      <c r="E30" s="13">
        <v>22</v>
      </c>
      <c r="F30" s="13" t="s">
        <v>104</v>
      </c>
      <c r="G30" s="13" t="s">
        <v>105</v>
      </c>
      <c r="H30" s="14" t="s">
        <v>143</v>
      </c>
      <c r="I30" s="13" t="s">
        <v>107</v>
      </c>
      <c r="J30" s="14" t="s">
        <v>170</v>
      </c>
      <c r="K30" s="13">
        <v>332</v>
      </c>
      <c r="L30" s="15"/>
    </row>
    <row r="31" spans="1:12" ht="15" customHeight="1" x14ac:dyDescent="0.55000000000000004">
      <c r="A31" s="11" t="s">
        <v>160</v>
      </c>
      <c r="B31" s="11">
        <v>94</v>
      </c>
      <c r="C31" s="3" t="s">
        <v>171</v>
      </c>
      <c r="D31" s="3" t="s">
        <v>21</v>
      </c>
      <c r="E31" s="11">
        <v>26</v>
      </c>
      <c r="F31" s="11" t="s">
        <v>104</v>
      </c>
      <c r="G31" s="11" t="s">
        <v>105</v>
      </c>
      <c r="H31" s="3" t="s">
        <v>116</v>
      </c>
      <c r="I31" s="11" t="s">
        <v>107</v>
      </c>
      <c r="J31" s="3" t="s">
        <v>172</v>
      </c>
      <c r="K31" s="11">
        <v>334</v>
      </c>
      <c r="L31" s="12"/>
    </row>
    <row r="32" spans="1:12" ht="15" customHeight="1" x14ac:dyDescent="0.55000000000000004">
      <c r="A32" s="13" t="s">
        <v>173</v>
      </c>
      <c r="B32" s="13">
        <v>1</v>
      </c>
      <c r="C32" s="14" t="s">
        <v>174</v>
      </c>
      <c r="D32" s="14" t="s">
        <v>21</v>
      </c>
      <c r="E32" s="13">
        <v>55</v>
      </c>
      <c r="F32" s="13" t="s">
        <v>104</v>
      </c>
      <c r="G32" s="13" t="s">
        <v>105</v>
      </c>
      <c r="H32" s="14" t="s">
        <v>175</v>
      </c>
      <c r="I32" s="13" t="s">
        <v>107</v>
      </c>
      <c r="J32" s="14" t="s">
        <v>176</v>
      </c>
      <c r="K32" s="13">
        <v>336</v>
      </c>
      <c r="L32" s="15"/>
    </row>
    <row r="33" spans="1:12" ht="15" customHeight="1" x14ac:dyDescent="0.55000000000000004">
      <c r="A33" s="16" t="s">
        <v>173</v>
      </c>
      <c r="B33" s="16">
        <v>6</v>
      </c>
      <c r="C33" s="17" t="s">
        <v>177</v>
      </c>
      <c r="D33" s="17" t="s">
        <v>121</v>
      </c>
      <c r="E33" s="16">
        <v>29</v>
      </c>
      <c r="F33" s="16" t="s">
        <v>104</v>
      </c>
      <c r="G33" s="16" t="s">
        <v>105</v>
      </c>
      <c r="H33" s="17" t="s">
        <v>110</v>
      </c>
      <c r="I33" s="16" t="s">
        <v>107</v>
      </c>
      <c r="J33" s="17" t="s">
        <v>50</v>
      </c>
      <c r="K33" s="16">
        <v>337</v>
      </c>
      <c r="L33" s="18" t="s">
        <v>178</v>
      </c>
    </row>
    <row r="34" spans="1:12" ht="15" customHeight="1" x14ac:dyDescent="0.55000000000000004">
      <c r="A34" s="13" t="s">
        <v>173</v>
      </c>
      <c r="B34" s="13">
        <v>7</v>
      </c>
      <c r="C34" s="14" t="s">
        <v>179</v>
      </c>
      <c r="D34" s="14" t="s">
        <v>21</v>
      </c>
      <c r="E34" s="13">
        <v>48</v>
      </c>
      <c r="F34" s="13" t="s">
        <v>104</v>
      </c>
      <c r="G34" s="13" t="s">
        <v>105</v>
      </c>
      <c r="H34" s="14" t="s">
        <v>110</v>
      </c>
      <c r="I34" s="13" t="s">
        <v>107</v>
      </c>
      <c r="J34" s="14" t="s">
        <v>50</v>
      </c>
      <c r="K34" s="13">
        <v>337</v>
      </c>
      <c r="L34" s="15"/>
    </row>
    <row r="35" spans="1:12" ht="15" customHeight="1" x14ac:dyDescent="0.55000000000000004">
      <c r="A35" s="16" t="s">
        <v>173</v>
      </c>
      <c r="B35" s="16">
        <v>18</v>
      </c>
      <c r="C35" s="17" t="s">
        <v>180</v>
      </c>
      <c r="D35" s="17" t="s">
        <v>181</v>
      </c>
      <c r="E35" s="16">
        <v>39</v>
      </c>
      <c r="F35" s="16" t="s">
        <v>104</v>
      </c>
      <c r="G35" s="16" t="s">
        <v>182</v>
      </c>
      <c r="H35" s="17" t="s">
        <v>183</v>
      </c>
      <c r="I35" s="16" t="s">
        <v>107</v>
      </c>
      <c r="J35" s="17" t="s">
        <v>184</v>
      </c>
      <c r="K35" s="16">
        <v>339</v>
      </c>
      <c r="L35" s="18" t="s">
        <v>185</v>
      </c>
    </row>
    <row r="36" spans="1:12" ht="15" customHeight="1" x14ac:dyDescent="0.55000000000000004">
      <c r="A36" s="13" t="s">
        <v>173</v>
      </c>
      <c r="B36" s="13">
        <v>28</v>
      </c>
      <c r="C36" s="14" t="s">
        <v>186</v>
      </c>
      <c r="D36" s="14" t="s">
        <v>187</v>
      </c>
      <c r="E36" s="13">
        <v>42</v>
      </c>
      <c r="F36" s="13" t="s">
        <v>104</v>
      </c>
      <c r="G36" s="13" t="s">
        <v>105</v>
      </c>
      <c r="H36" s="14" t="s">
        <v>175</v>
      </c>
      <c r="I36" s="13" t="s">
        <v>107</v>
      </c>
      <c r="J36" s="14" t="s">
        <v>188</v>
      </c>
      <c r="K36" s="13">
        <v>341</v>
      </c>
      <c r="L36" s="15"/>
    </row>
    <row r="37" spans="1:12" ht="15" customHeight="1" x14ac:dyDescent="0.55000000000000004">
      <c r="A37" s="16" t="s">
        <v>173</v>
      </c>
      <c r="B37" s="16">
        <v>36</v>
      </c>
      <c r="C37" s="17" t="s">
        <v>189</v>
      </c>
      <c r="D37" s="17" t="s">
        <v>151</v>
      </c>
      <c r="E37" s="16">
        <v>30</v>
      </c>
      <c r="F37" s="16" t="s">
        <v>104</v>
      </c>
      <c r="G37" s="16" t="s">
        <v>105</v>
      </c>
      <c r="H37" s="17" t="s">
        <v>110</v>
      </c>
      <c r="I37" s="16" t="s">
        <v>107</v>
      </c>
      <c r="J37" s="17" t="s">
        <v>190</v>
      </c>
      <c r="K37" s="16">
        <v>343</v>
      </c>
      <c r="L37" s="18" t="s">
        <v>57</v>
      </c>
    </row>
    <row r="38" spans="1:12" ht="15" customHeight="1" x14ac:dyDescent="0.55000000000000004">
      <c r="A38" s="13" t="s">
        <v>173</v>
      </c>
      <c r="B38" s="13">
        <v>41</v>
      </c>
      <c r="C38" s="14" t="s">
        <v>191</v>
      </c>
      <c r="D38" s="14" t="s">
        <v>21</v>
      </c>
      <c r="E38" s="13">
        <v>25</v>
      </c>
      <c r="F38" s="13" t="s">
        <v>104</v>
      </c>
      <c r="G38" s="13" t="s">
        <v>105</v>
      </c>
      <c r="H38" s="14" t="s">
        <v>110</v>
      </c>
      <c r="I38" s="13" t="s">
        <v>107</v>
      </c>
      <c r="J38" s="14" t="s">
        <v>192</v>
      </c>
      <c r="K38" s="13">
        <v>344</v>
      </c>
      <c r="L38" s="15"/>
    </row>
    <row r="39" spans="1:12" ht="15" customHeight="1" x14ac:dyDescent="0.55000000000000004">
      <c r="A39" s="11" t="s">
        <v>173</v>
      </c>
      <c r="B39" s="11">
        <v>45</v>
      </c>
      <c r="C39" s="3" t="s">
        <v>193</v>
      </c>
      <c r="D39" s="3" t="s">
        <v>21</v>
      </c>
      <c r="E39" s="11">
        <v>21</v>
      </c>
      <c r="F39" s="11" t="s">
        <v>104</v>
      </c>
      <c r="G39" s="11" t="s">
        <v>105</v>
      </c>
      <c r="H39" s="3" t="s">
        <v>113</v>
      </c>
      <c r="I39" s="11" t="s">
        <v>107</v>
      </c>
      <c r="J39" s="3" t="s">
        <v>194</v>
      </c>
      <c r="K39" s="11">
        <v>345</v>
      </c>
      <c r="L39" s="12"/>
    </row>
    <row r="40" spans="1:12" ht="15" customHeight="1" x14ac:dyDescent="0.55000000000000004">
      <c r="A40" s="16" t="s">
        <v>173</v>
      </c>
      <c r="B40" s="16">
        <v>50</v>
      </c>
      <c r="C40" s="17" t="s">
        <v>195</v>
      </c>
      <c r="D40" s="17" t="s">
        <v>21</v>
      </c>
      <c r="E40" s="16">
        <v>20</v>
      </c>
      <c r="F40" s="16" t="s">
        <v>104</v>
      </c>
      <c r="G40" s="16" t="s">
        <v>105</v>
      </c>
      <c r="H40" s="17" t="s">
        <v>110</v>
      </c>
      <c r="I40" s="16" t="s">
        <v>107</v>
      </c>
      <c r="J40" s="17" t="s">
        <v>196</v>
      </c>
      <c r="K40" s="16">
        <v>346</v>
      </c>
      <c r="L40" s="18" t="s">
        <v>133</v>
      </c>
    </row>
    <row r="41" spans="1:12" ht="15" customHeight="1" x14ac:dyDescent="0.55000000000000004">
      <c r="A41" s="16" t="s">
        <v>197</v>
      </c>
      <c r="B41" s="16">
        <v>55</v>
      </c>
      <c r="C41" s="17" t="s">
        <v>198</v>
      </c>
      <c r="D41" s="17" t="s">
        <v>21</v>
      </c>
      <c r="E41" s="16">
        <v>20</v>
      </c>
      <c r="F41" s="16" t="s">
        <v>104</v>
      </c>
      <c r="G41" s="16" t="s">
        <v>105</v>
      </c>
      <c r="H41" s="17" t="s">
        <v>125</v>
      </c>
      <c r="I41" s="16" t="s">
        <v>107</v>
      </c>
      <c r="J41" s="17" t="s">
        <v>199</v>
      </c>
      <c r="K41" s="16">
        <v>347</v>
      </c>
      <c r="L41" s="18" t="s">
        <v>57</v>
      </c>
    </row>
    <row r="42" spans="1:12" ht="15" customHeight="1" x14ac:dyDescent="0.55000000000000004">
      <c r="A42" s="16" t="s">
        <v>197</v>
      </c>
      <c r="B42" s="16">
        <v>70</v>
      </c>
      <c r="C42" s="17" t="s">
        <v>200</v>
      </c>
      <c r="D42" s="17" t="s">
        <v>21</v>
      </c>
      <c r="E42" s="16">
        <v>21</v>
      </c>
      <c r="F42" s="16" t="s">
        <v>104</v>
      </c>
      <c r="G42" s="16" t="s">
        <v>105</v>
      </c>
      <c r="H42" s="17" t="s">
        <v>110</v>
      </c>
      <c r="I42" s="16" t="s">
        <v>107</v>
      </c>
      <c r="J42" s="17" t="s">
        <v>52</v>
      </c>
      <c r="K42" s="16">
        <v>351</v>
      </c>
      <c r="L42" s="18" t="s">
        <v>64</v>
      </c>
    </row>
    <row r="43" spans="1:12" ht="23.85" customHeight="1" x14ac:dyDescent="0.55000000000000004">
      <c r="A43" s="16" t="s">
        <v>197</v>
      </c>
      <c r="B43" s="16">
        <v>71</v>
      </c>
      <c r="C43" s="17" t="s">
        <v>201</v>
      </c>
      <c r="D43" s="17" t="s">
        <v>121</v>
      </c>
      <c r="E43" s="16">
        <v>32</v>
      </c>
      <c r="F43" s="16" t="s">
        <v>104</v>
      </c>
      <c r="G43" s="16" t="s">
        <v>202</v>
      </c>
      <c r="H43" s="17" t="s">
        <v>106</v>
      </c>
      <c r="I43" s="16" t="s">
        <v>107</v>
      </c>
      <c r="J43" s="17" t="s">
        <v>52</v>
      </c>
      <c r="K43" s="16">
        <v>351</v>
      </c>
      <c r="L43" s="18" t="s">
        <v>203</v>
      </c>
    </row>
    <row r="44" spans="1:12" ht="15" customHeight="1" x14ac:dyDescent="0.55000000000000004">
      <c r="A44" s="16" t="s">
        <v>197</v>
      </c>
      <c r="B44" s="16">
        <v>84</v>
      </c>
      <c r="C44" s="17" t="s">
        <v>204</v>
      </c>
      <c r="D44" s="17" t="s">
        <v>151</v>
      </c>
      <c r="E44" s="16">
        <v>27</v>
      </c>
      <c r="F44" s="16" t="s">
        <v>104</v>
      </c>
      <c r="G44" s="16" t="s">
        <v>105</v>
      </c>
      <c r="H44" s="17" t="s">
        <v>205</v>
      </c>
      <c r="I44" s="16" t="s">
        <v>206</v>
      </c>
      <c r="J44" s="17" t="s">
        <v>40</v>
      </c>
      <c r="K44" s="16">
        <v>383</v>
      </c>
      <c r="L44" s="18" t="s">
        <v>207</v>
      </c>
    </row>
    <row r="45" spans="1:12" ht="15" customHeight="1" x14ac:dyDescent="0.55000000000000004">
      <c r="A45" s="16" t="s">
        <v>197</v>
      </c>
      <c r="B45" s="16">
        <v>85</v>
      </c>
      <c r="C45" s="17" t="s">
        <v>208</v>
      </c>
      <c r="D45" s="17" t="s">
        <v>209</v>
      </c>
      <c r="E45" s="16">
        <v>22</v>
      </c>
      <c r="F45" s="16" t="s">
        <v>104</v>
      </c>
      <c r="G45" s="16" t="s">
        <v>105</v>
      </c>
      <c r="H45" s="17" t="s">
        <v>205</v>
      </c>
      <c r="I45" s="16" t="s">
        <v>206</v>
      </c>
      <c r="J45" s="17" t="s">
        <v>40</v>
      </c>
      <c r="K45" s="16">
        <v>383</v>
      </c>
      <c r="L45" s="18" t="s">
        <v>210</v>
      </c>
    </row>
    <row r="46" spans="1:12" ht="15" customHeight="1" x14ac:dyDescent="0.55000000000000004">
      <c r="A46" s="13" t="s">
        <v>197</v>
      </c>
      <c r="B46" s="13">
        <v>86</v>
      </c>
      <c r="C46" s="14" t="s">
        <v>211</v>
      </c>
      <c r="D46" s="14" t="s">
        <v>121</v>
      </c>
      <c r="E46" s="13">
        <v>26</v>
      </c>
      <c r="F46" s="13" t="s">
        <v>104</v>
      </c>
      <c r="G46" s="13" t="s">
        <v>105</v>
      </c>
      <c r="H46" s="14" t="s">
        <v>110</v>
      </c>
      <c r="I46" s="13" t="s">
        <v>107</v>
      </c>
      <c r="J46" s="14" t="s">
        <v>40</v>
      </c>
      <c r="K46" s="13">
        <v>383</v>
      </c>
      <c r="L46" s="15"/>
    </row>
    <row r="47" spans="1:12" ht="15" customHeight="1" x14ac:dyDescent="0.55000000000000004">
      <c r="A47" s="16" t="s">
        <v>197</v>
      </c>
      <c r="B47" s="16">
        <v>90</v>
      </c>
      <c r="C47" s="17" t="s">
        <v>212</v>
      </c>
      <c r="D47" s="17" t="s">
        <v>21</v>
      </c>
      <c r="E47" s="16">
        <v>26</v>
      </c>
      <c r="F47" s="16" t="s">
        <v>104</v>
      </c>
      <c r="G47" s="16" t="s">
        <v>105</v>
      </c>
      <c r="H47" s="17" t="s">
        <v>106</v>
      </c>
      <c r="I47" s="16" t="s">
        <v>107</v>
      </c>
      <c r="J47" s="17" t="s">
        <v>213</v>
      </c>
      <c r="K47" s="16">
        <v>384</v>
      </c>
      <c r="L47" s="18" t="s">
        <v>185</v>
      </c>
    </row>
    <row r="48" spans="1:12" ht="15" customHeight="1" x14ac:dyDescent="0.55000000000000004">
      <c r="A48" s="16" t="s">
        <v>197</v>
      </c>
      <c r="B48" s="16">
        <v>97</v>
      </c>
      <c r="C48" s="17" t="s">
        <v>214</v>
      </c>
      <c r="D48" s="17" t="s">
        <v>23</v>
      </c>
      <c r="E48" s="16">
        <v>21</v>
      </c>
      <c r="F48" s="16" t="s">
        <v>104</v>
      </c>
      <c r="G48" s="16" t="s">
        <v>105</v>
      </c>
      <c r="H48" s="17" t="s">
        <v>106</v>
      </c>
      <c r="I48" s="16" t="s">
        <v>107</v>
      </c>
      <c r="J48" s="17" t="s">
        <v>215</v>
      </c>
      <c r="K48" s="16">
        <v>386</v>
      </c>
      <c r="L48" s="18" t="s">
        <v>216</v>
      </c>
    </row>
    <row r="49" spans="1:12" ht="15" customHeight="1" x14ac:dyDescent="0.55000000000000004">
      <c r="A49" s="16" t="s">
        <v>217</v>
      </c>
      <c r="B49" s="16">
        <v>5</v>
      </c>
      <c r="C49" s="17" t="s">
        <v>218</v>
      </c>
      <c r="D49" s="17" t="s">
        <v>121</v>
      </c>
      <c r="E49" s="16">
        <v>21</v>
      </c>
      <c r="F49" s="16" t="s">
        <v>104</v>
      </c>
      <c r="G49" s="16" t="s">
        <v>105</v>
      </c>
      <c r="H49" s="17" t="s">
        <v>116</v>
      </c>
      <c r="I49" s="16" t="s">
        <v>107</v>
      </c>
      <c r="J49" s="17" t="s">
        <v>55</v>
      </c>
      <c r="K49" s="16">
        <v>388</v>
      </c>
      <c r="L49" s="18" t="s">
        <v>57</v>
      </c>
    </row>
    <row r="50" spans="1:12" ht="15" customHeight="1" x14ac:dyDescent="0.55000000000000004">
      <c r="A50" s="16" t="s">
        <v>217</v>
      </c>
      <c r="B50" s="16">
        <v>6</v>
      </c>
      <c r="C50" s="17" t="s">
        <v>219</v>
      </c>
      <c r="D50" s="17" t="s">
        <v>151</v>
      </c>
      <c r="E50" s="16">
        <v>24</v>
      </c>
      <c r="F50" s="16" t="s">
        <v>104</v>
      </c>
      <c r="G50" s="16" t="s">
        <v>105</v>
      </c>
      <c r="H50" s="17" t="s">
        <v>110</v>
      </c>
      <c r="I50" s="16" t="s">
        <v>107</v>
      </c>
      <c r="J50" s="17" t="s">
        <v>55</v>
      </c>
      <c r="K50" s="16">
        <v>388</v>
      </c>
      <c r="L50" s="18" t="s">
        <v>57</v>
      </c>
    </row>
    <row r="51" spans="1:12" ht="15" customHeight="1" x14ac:dyDescent="0.55000000000000004">
      <c r="A51" s="16" t="s">
        <v>217</v>
      </c>
      <c r="B51" s="16">
        <v>12</v>
      </c>
      <c r="C51" s="17" t="s">
        <v>220</v>
      </c>
      <c r="D51" s="17" t="s">
        <v>21</v>
      </c>
      <c r="E51" s="16">
        <v>24</v>
      </c>
      <c r="F51" s="16" t="s">
        <v>104</v>
      </c>
      <c r="G51" s="16" t="s">
        <v>105</v>
      </c>
      <c r="H51" s="17" t="s">
        <v>110</v>
      </c>
      <c r="I51" s="16" t="s">
        <v>107</v>
      </c>
      <c r="J51" s="17" t="s">
        <v>221</v>
      </c>
      <c r="K51" s="16">
        <v>389</v>
      </c>
      <c r="L51" s="18" t="s">
        <v>133</v>
      </c>
    </row>
    <row r="52" spans="1:12" ht="15" customHeight="1" x14ac:dyDescent="0.55000000000000004">
      <c r="A52" s="13" t="s">
        <v>217</v>
      </c>
      <c r="B52" s="13">
        <v>21</v>
      </c>
      <c r="C52" s="14" t="s">
        <v>222</v>
      </c>
      <c r="D52" s="14" t="s">
        <v>21</v>
      </c>
      <c r="E52" s="13">
        <v>22</v>
      </c>
      <c r="F52" s="13" t="s">
        <v>104</v>
      </c>
      <c r="G52" s="13" t="s">
        <v>105</v>
      </c>
      <c r="H52" s="14" t="s">
        <v>110</v>
      </c>
      <c r="I52" s="13" t="s">
        <v>107</v>
      </c>
      <c r="J52" s="14" t="s">
        <v>58</v>
      </c>
      <c r="K52" s="13">
        <v>392</v>
      </c>
      <c r="L52" s="15"/>
    </row>
    <row r="53" spans="1:12" ht="15" customHeight="1" x14ac:dyDescent="0.55000000000000004">
      <c r="A53" s="16" t="s">
        <v>217</v>
      </c>
      <c r="B53" s="16">
        <v>22</v>
      </c>
      <c r="C53" s="17" t="s">
        <v>223</v>
      </c>
      <c r="D53" s="17" t="s">
        <v>21</v>
      </c>
      <c r="E53" s="16">
        <v>22</v>
      </c>
      <c r="F53" s="16" t="s">
        <v>104</v>
      </c>
      <c r="G53" s="16" t="s">
        <v>105</v>
      </c>
      <c r="H53" s="17" t="s">
        <v>110</v>
      </c>
      <c r="I53" s="16" t="s">
        <v>107</v>
      </c>
      <c r="J53" s="17" t="s">
        <v>58</v>
      </c>
      <c r="K53" s="16">
        <v>392</v>
      </c>
      <c r="L53" s="18" t="s">
        <v>133</v>
      </c>
    </row>
    <row r="54" spans="1:12" ht="15" customHeight="1" x14ac:dyDescent="0.55000000000000004">
      <c r="A54" s="13" t="s">
        <v>217</v>
      </c>
      <c r="B54" s="13">
        <v>26</v>
      </c>
      <c r="C54" s="14" t="s">
        <v>224</v>
      </c>
      <c r="D54" s="14" t="s">
        <v>151</v>
      </c>
      <c r="E54" s="13">
        <v>45</v>
      </c>
      <c r="F54" s="13" t="s">
        <v>104</v>
      </c>
      <c r="G54" s="13" t="s">
        <v>105</v>
      </c>
      <c r="H54" s="14" t="s">
        <v>116</v>
      </c>
      <c r="I54" s="13" t="s">
        <v>107</v>
      </c>
      <c r="J54" s="14" t="s">
        <v>225</v>
      </c>
      <c r="K54" s="13">
        <v>393</v>
      </c>
      <c r="L54" s="15"/>
    </row>
    <row r="55" spans="1:12" ht="15" customHeight="1" x14ac:dyDescent="0.55000000000000004">
      <c r="A55" s="11" t="s">
        <v>217</v>
      </c>
      <c r="B55" s="11">
        <v>32</v>
      </c>
      <c r="C55" s="3" t="s">
        <v>226</v>
      </c>
      <c r="D55" s="3" t="s">
        <v>121</v>
      </c>
      <c r="E55" s="11">
        <v>25</v>
      </c>
      <c r="F55" s="11" t="s">
        <v>104</v>
      </c>
      <c r="G55" s="11" t="s">
        <v>105</v>
      </c>
      <c r="H55" s="3" t="s">
        <v>116</v>
      </c>
      <c r="I55" s="11" t="s">
        <v>107</v>
      </c>
      <c r="J55" s="3" t="s">
        <v>60</v>
      </c>
      <c r="K55" s="11">
        <v>394</v>
      </c>
      <c r="L55" s="12"/>
    </row>
    <row r="56" spans="1:12" ht="15" customHeight="1" x14ac:dyDescent="0.55000000000000004">
      <c r="A56" s="13" t="s">
        <v>217</v>
      </c>
      <c r="B56" s="13">
        <v>33</v>
      </c>
      <c r="C56" s="14" t="s">
        <v>227</v>
      </c>
      <c r="D56" s="14" t="s">
        <v>151</v>
      </c>
      <c r="E56" s="13">
        <v>23</v>
      </c>
      <c r="F56" s="13" t="s">
        <v>104</v>
      </c>
      <c r="G56" s="13" t="s">
        <v>105</v>
      </c>
      <c r="H56" s="14" t="s">
        <v>116</v>
      </c>
      <c r="I56" s="13" t="s">
        <v>107</v>
      </c>
      <c r="J56" s="14" t="s">
        <v>60</v>
      </c>
      <c r="K56" s="13">
        <v>394</v>
      </c>
      <c r="L56" s="15"/>
    </row>
    <row r="57" spans="1:12" ht="15" customHeight="1" x14ac:dyDescent="0.55000000000000004">
      <c r="A57" s="11" t="s">
        <v>217</v>
      </c>
      <c r="B57" s="11">
        <v>46</v>
      </c>
      <c r="C57" s="3" t="s">
        <v>228</v>
      </c>
      <c r="D57" s="3" t="s">
        <v>21</v>
      </c>
      <c r="E57" s="11">
        <v>21</v>
      </c>
      <c r="F57" s="11" t="s">
        <v>104</v>
      </c>
      <c r="G57" s="11" t="s">
        <v>105</v>
      </c>
      <c r="H57" s="3" t="s">
        <v>110</v>
      </c>
      <c r="I57" s="11" t="s">
        <v>107</v>
      </c>
      <c r="J57" s="3" t="s">
        <v>229</v>
      </c>
      <c r="K57" s="11">
        <v>402</v>
      </c>
      <c r="L57" s="12"/>
    </row>
    <row r="58" spans="1:12" ht="15" customHeight="1" x14ac:dyDescent="0.55000000000000004">
      <c r="A58" s="16" t="s">
        <v>230</v>
      </c>
      <c r="B58" s="16">
        <v>55</v>
      </c>
      <c r="C58" s="17" t="s">
        <v>231</v>
      </c>
      <c r="D58" s="17" t="s">
        <v>23</v>
      </c>
      <c r="E58" s="16">
        <v>22</v>
      </c>
      <c r="F58" s="16" t="s">
        <v>104</v>
      </c>
      <c r="G58" s="16" t="s">
        <v>105</v>
      </c>
      <c r="H58" s="17" t="s">
        <v>110</v>
      </c>
      <c r="I58" s="16" t="s">
        <v>107</v>
      </c>
      <c r="J58" s="17" t="s">
        <v>62</v>
      </c>
      <c r="K58" s="16">
        <v>422</v>
      </c>
      <c r="L58" s="18" t="s">
        <v>64</v>
      </c>
    </row>
    <row r="59" spans="1:12" ht="15" customHeight="1" x14ac:dyDescent="0.55000000000000004">
      <c r="A59" s="16" t="s">
        <v>230</v>
      </c>
      <c r="B59" s="16">
        <v>56</v>
      </c>
      <c r="C59" s="17" t="s">
        <v>232</v>
      </c>
      <c r="D59" s="17" t="s">
        <v>151</v>
      </c>
      <c r="E59" s="16">
        <v>42</v>
      </c>
      <c r="F59" s="16" t="s">
        <v>104</v>
      </c>
      <c r="G59" s="16" t="s">
        <v>105</v>
      </c>
      <c r="H59" s="17" t="s">
        <v>110</v>
      </c>
      <c r="I59" s="16" t="s">
        <v>107</v>
      </c>
      <c r="J59" s="17" t="s">
        <v>62</v>
      </c>
      <c r="K59" s="16">
        <v>422</v>
      </c>
      <c r="L59" s="18" t="s">
        <v>64</v>
      </c>
    </row>
    <row r="60" spans="1:12" ht="15" customHeight="1" x14ac:dyDescent="0.55000000000000004">
      <c r="A60" s="13" t="s">
        <v>230</v>
      </c>
      <c r="B60" s="13">
        <v>59</v>
      </c>
      <c r="C60" s="14" t="s">
        <v>233</v>
      </c>
      <c r="D60" s="14" t="s">
        <v>151</v>
      </c>
      <c r="E60" s="13">
        <v>39</v>
      </c>
      <c r="F60" s="13" t="s">
        <v>104</v>
      </c>
      <c r="G60" s="13" t="s">
        <v>105</v>
      </c>
      <c r="H60" s="14" t="s">
        <v>162</v>
      </c>
      <c r="I60" s="13" t="s">
        <v>107</v>
      </c>
      <c r="J60" s="14" t="s">
        <v>234</v>
      </c>
      <c r="K60" s="13">
        <v>423</v>
      </c>
      <c r="L60" s="15"/>
    </row>
    <row r="61" spans="1:12" ht="15" customHeight="1" x14ac:dyDescent="0.55000000000000004">
      <c r="A61" s="11" t="s">
        <v>230</v>
      </c>
      <c r="B61" s="11">
        <v>64</v>
      </c>
      <c r="C61" s="3" t="s">
        <v>235</v>
      </c>
      <c r="D61" s="3" t="s">
        <v>151</v>
      </c>
      <c r="E61" s="11">
        <v>25</v>
      </c>
      <c r="F61" s="11" t="s">
        <v>104</v>
      </c>
      <c r="G61" s="11" t="s">
        <v>105</v>
      </c>
      <c r="H61" s="3" t="s">
        <v>116</v>
      </c>
      <c r="I61" s="11" t="s">
        <v>107</v>
      </c>
      <c r="J61" s="3" t="s">
        <v>236</v>
      </c>
      <c r="K61" s="11">
        <v>424</v>
      </c>
      <c r="L61" s="12"/>
    </row>
    <row r="62" spans="1:12" ht="15" customHeight="1" x14ac:dyDescent="0.55000000000000004">
      <c r="A62" s="16" t="s">
        <v>230</v>
      </c>
      <c r="B62" s="16">
        <v>68</v>
      </c>
      <c r="C62" s="17" t="s">
        <v>237</v>
      </c>
      <c r="D62" s="17" t="s">
        <v>21</v>
      </c>
      <c r="E62" s="16">
        <v>35</v>
      </c>
      <c r="F62" s="16" t="s">
        <v>104</v>
      </c>
      <c r="G62" s="16" t="s">
        <v>105</v>
      </c>
      <c r="H62" s="17" t="s">
        <v>162</v>
      </c>
      <c r="I62" s="16" t="s">
        <v>107</v>
      </c>
      <c r="J62" s="17" t="s">
        <v>238</v>
      </c>
      <c r="K62" s="16">
        <v>425</v>
      </c>
      <c r="L62" s="18" t="s">
        <v>133</v>
      </c>
    </row>
    <row r="63" spans="1:12" ht="15" customHeight="1" x14ac:dyDescent="0.55000000000000004">
      <c r="A63" s="16" t="s">
        <v>230</v>
      </c>
      <c r="B63" s="16">
        <v>87</v>
      </c>
      <c r="C63" s="17" t="s">
        <v>239</v>
      </c>
      <c r="D63" s="17" t="s">
        <v>21</v>
      </c>
      <c r="E63" s="16">
        <v>33</v>
      </c>
      <c r="F63" s="16" t="s">
        <v>104</v>
      </c>
      <c r="G63" s="16" t="s">
        <v>105</v>
      </c>
      <c r="H63" s="17" t="s">
        <v>240</v>
      </c>
      <c r="I63" s="16" t="s">
        <v>107</v>
      </c>
      <c r="J63" s="17" t="s">
        <v>241</v>
      </c>
      <c r="K63" s="16">
        <v>429</v>
      </c>
      <c r="L63" s="18" t="s">
        <v>133</v>
      </c>
    </row>
    <row r="64" spans="1:12" ht="15" customHeight="1" x14ac:dyDescent="0.55000000000000004">
      <c r="A64" s="13" t="s">
        <v>230</v>
      </c>
      <c r="B64" s="13">
        <v>90</v>
      </c>
      <c r="C64" s="14" t="s">
        <v>242</v>
      </c>
      <c r="D64" s="14" t="s">
        <v>21</v>
      </c>
      <c r="E64" s="13">
        <v>27</v>
      </c>
      <c r="F64" s="13" t="s">
        <v>104</v>
      </c>
      <c r="G64" s="13" t="s">
        <v>105</v>
      </c>
      <c r="H64" s="14" t="s">
        <v>243</v>
      </c>
      <c r="I64" s="13" t="s">
        <v>107</v>
      </c>
      <c r="J64" s="14" t="s">
        <v>244</v>
      </c>
      <c r="K64" s="13">
        <v>480</v>
      </c>
      <c r="L64" s="15"/>
    </row>
    <row r="65" spans="1:12" ht="35.049999999999997" customHeight="1" x14ac:dyDescent="0.55000000000000004">
      <c r="A65" s="16" t="s">
        <v>245</v>
      </c>
      <c r="B65" s="16">
        <v>37</v>
      </c>
      <c r="C65" s="17" t="s">
        <v>246</v>
      </c>
      <c r="D65" s="17" t="s">
        <v>21</v>
      </c>
      <c r="E65" s="16">
        <v>21</v>
      </c>
      <c r="F65" s="16" t="s">
        <v>104</v>
      </c>
      <c r="G65" s="16" t="s">
        <v>105</v>
      </c>
      <c r="H65" s="17" t="s">
        <v>110</v>
      </c>
      <c r="I65" s="16" t="s">
        <v>107</v>
      </c>
      <c r="J65" s="17" t="s">
        <v>247</v>
      </c>
      <c r="K65" s="16">
        <v>614</v>
      </c>
      <c r="L65" s="18" t="s">
        <v>248</v>
      </c>
    </row>
    <row r="66" spans="1:12" ht="35.049999999999997" customHeight="1" x14ac:dyDescent="0.55000000000000004">
      <c r="A66" s="16" t="s">
        <v>245</v>
      </c>
      <c r="B66" s="16">
        <v>41</v>
      </c>
      <c r="C66" s="17" t="s">
        <v>249</v>
      </c>
      <c r="D66" s="17" t="s">
        <v>21</v>
      </c>
      <c r="E66" s="16">
        <v>23</v>
      </c>
      <c r="F66" s="16" t="s">
        <v>104</v>
      </c>
      <c r="G66" s="16" t="s">
        <v>105</v>
      </c>
      <c r="H66" s="17" t="s">
        <v>110</v>
      </c>
      <c r="I66" s="16" t="s">
        <v>107</v>
      </c>
      <c r="J66" s="17" t="s">
        <v>250</v>
      </c>
      <c r="K66" s="16">
        <v>615</v>
      </c>
      <c r="L66" s="18" t="s">
        <v>251</v>
      </c>
    </row>
    <row r="67" spans="1:12" ht="15" customHeight="1" x14ac:dyDescent="0.55000000000000004">
      <c r="A67" s="11" t="s">
        <v>252</v>
      </c>
      <c r="B67" s="11">
        <v>8</v>
      </c>
      <c r="C67" s="3" t="s">
        <v>253</v>
      </c>
      <c r="D67" s="3" t="s">
        <v>21</v>
      </c>
      <c r="E67" s="11">
        <v>23</v>
      </c>
      <c r="F67" s="11" t="s">
        <v>104</v>
      </c>
      <c r="G67" s="11" t="s">
        <v>105</v>
      </c>
      <c r="H67" s="3" t="s">
        <v>110</v>
      </c>
      <c r="I67" s="11" t="s">
        <v>107</v>
      </c>
      <c r="J67" s="3" t="s">
        <v>254</v>
      </c>
      <c r="K67" s="11">
        <v>646</v>
      </c>
      <c r="L67" s="12"/>
    </row>
    <row r="68" spans="1:12" ht="15" customHeight="1" x14ac:dyDescent="0.55000000000000004">
      <c r="A68" s="16" t="s">
        <v>252</v>
      </c>
      <c r="B68" s="16">
        <v>15</v>
      </c>
      <c r="C68" s="17" t="s">
        <v>255</v>
      </c>
      <c r="D68" s="17" t="s">
        <v>21</v>
      </c>
      <c r="E68" s="16">
        <v>23</v>
      </c>
      <c r="F68" s="16" t="s">
        <v>104</v>
      </c>
      <c r="G68" s="16" t="s">
        <v>105</v>
      </c>
      <c r="H68" s="17" t="s">
        <v>256</v>
      </c>
      <c r="I68" s="16" t="s">
        <v>206</v>
      </c>
      <c r="J68" s="17" t="s">
        <v>257</v>
      </c>
      <c r="K68" s="16">
        <v>704</v>
      </c>
      <c r="L68" s="18" t="s">
        <v>258</v>
      </c>
    </row>
    <row r="69" spans="1:12" ht="57.45" customHeight="1" x14ac:dyDescent="0.55000000000000004">
      <c r="A69" s="16" t="s">
        <v>252</v>
      </c>
      <c r="B69" s="16">
        <v>26</v>
      </c>
      <c r="C69" s="17" t="s">
        <v>259</v>
      </c>
      <c r="D69" s="17" t="s">
        <v>21</v>
      </c>
      <c r="E69" s="16">
        <v>27</v>
      </c>
      <c r="F69" s="16" t="s">
        <v>104</v>
      </c>
      <c r="G69" s="16" t="s">
        <v>105</v>
      </c>
      <c r="H69" s="17" t="s">
        <v>113</v>
      </c>
      <c r="I69" s="16" t="s">
        <v>107</v>
      </c>
      <c r="J69" s="17" t="s">
        <v>244</v>
      </c>
      <c r="K69" s="16">
        <v>728</v>
      </c>
      <c r="L69" s="18" t="s">
        <v>260</v>
      </c>
    </row>
    <row r="70" spans="1:12" ht="15" customHeight="1" x14ac:dyDescent="0.55000000000000004">
      <c r="A70" s="13"/>
      <c r="B70" s="13"/>
      <c r="C70" s="14"/>
      <c r="D70" s="14"/>
      <c r="E70" s="13"/>
      <c r="F70" s="13"/>
      <c r="G70" s="13"/>
      <c r="H70" s="14"/>
      <c r="I70" s="13"/>
      <c r="J70" s="14"/>
      <c r="K70" s="13"/>
      <c r="L70" s="15"/>
    </row>
    <row r="71" spans="1:12" ht="15" customHeight="1" x14ac:dyDescent="0.55000000000000004">
      <c r="A71" s="11" t="s">
        <v>25</v>
      </c>
      <c r="B71" s="11"/>
      <c r="C71" s="3"/>
      <c r="D71" s="3"/>
      <c r="E71" s="11"/>
      <c r="F71" s="11"/>
      <c r="G71" s="11"/>
      <c r="H71" s="3"/>
      <c r="I71" s="11"/>
      <c r="J71" s="3"/>
      <c r="K71" s="11"/>
      <c r="L71" s="12"/>
    </row>
    <row r="72" spans="1:12" ht="15" customHeight="1" x14ac:dyDescent="0.55000000000000004">
      <c r="A72" s="13" t="s">
        <v>261</v>
      </c>
      <c r="B72" s="13"/>
      <c r="C72" s="14"/>
      <c r="D72" s="14"/>
      <c r="E72" s="13"/>
      <c r="F72" s="13"/>
      <c r="G72" s="13"/>
      <c r="H72" s="14"/>
      <c r="I72" s="13"/>
      <c r="J72" s="14"/>
      <c r="K72" s="13"/>
      <c r="L72" s="15"/>
    </row>
    <row r="73" spans="1:12" ht="15" customHeight="1" x14ac:dyDescent="0.55000000000000004">
      <c r="A73" s="11" t="s">
        <v>262</v>
      </c>
      <c r="B73" s="11"/>
      <c r="C73" s="3"/>
      <c r="D73" s="3"/>
      <c r="E73" s="11"/>
      <c r="F73" s="11"/>
      <c r="G73" s="11"/>
      <c r="H73" s="3"/>
      <c r="I73" s="11"/>
      <c r="J73" s="3"/>
      <c r="K73" s="11"/>
      <c r="L73" s="12"/>
    </row>
    <row r="74" spans="1:12" ht="15" customHeight="1" x14ac:dyDescent="0.55000000000000004">
      <c r="A74" s="13" t="s">
        <v>263</v>
      </c>
      <c r="B74" s="13"/>
      <c r="C74" s="14"/>
      <c r="D74" s="14"/>
      <c r="E74" s="13"/>
      <c r="F74" s="13"/>
      <c r="G74" s="13"/>
      <c r="H74" s="14"/>
      <c r="I74" s="13"/>
      <c r="J74" s="14"/>
      <c r="K74" s="13"/>
      <c r="L74" s="15"/>
    </row>
    <row r="75" spans="1:12" ht="15" customHeight="1" x14ac:dyDescent="0.55000000000000004">
      <c r="A75" s="11" t="s">
        <v>264</v>
      </c>
      <c r="B75" s="11"/>
      <c r="C75" s="3"/>
      <c r="D75" s="3"/>
      <c r="E75" s="11"/>
      <c r="F75" s="11"/>
      <c r="G75" s="11"/>
      <c r="H75" s="3"/>
      <c r="I75" s="11"/>
      <c r="J75" s="3"/>
      <c r="K75" s="11"/>
      <c r="L75" s="12"/>
    </row>
    <row r="76" spans="1:12" ht="15" customHeight="1" x14ac:dyDescent="0.55000000000000004">
      <c r="A76" s="13" t="s">
        <v>265</v>
      </c>
      <c r="B76" s="13"/>
      <c r="C76" s="14"/>
      <c r="D76" s="14"/>
      <c r="E76" s="13"/>
      <c r="F76" s="13"/>
      <c r="G76" s="13"/>
      <c r="H76" s="14"/>
      <c r="I76" s="13"/>
      <c r="J76" s="14"/>
      <c r="K76" s="13"/>
      <c r="L76" s="15"/>
    </row>
    <row r="77" spans="1:12" ht="15" customHeight="1" x14ac:dyDescent="0.55000000000000004">
      <c r="A77" s="11" t="s">
        <v>266</v>
      </c>
      <c r="B77" s="11"/>
      <c r="C77" s="3"/>
      <c r="D77" s="3"/>
      <c r="E77" s="11"/>
      <c r="F77" s="11"/>
      <c r="G77" s="11"/>
      <c r="H77" s="3"/>
      <c r="I77" s="11"/>
      <c r="J77" s="3"/>
      <c r="K77" s="11"/>
      <c r="L77" s="12"/>
    </row>
    <row r="78" spans="1:12" ht="15" customHeight="1" x14ac:dyDescent="0.55000000000000004">
      <c r="A78" s="13" t="s">
        <v>267</v>
      </c>
      <c r="B78" s="13"/>
      <c r="C78" s="14"/>
      <c r="D78" s="14"/>
      <c r="E78" s="13"/>
      <c r="F78" s="13"/>
      <c r="G78" s="13"/>
      <c r="H78" s="14"/>
      <c r="I78" s="13"/>
      <c r="J78" s="14"/>
      <c r="K78" s="13"/>
      <c r="L78" s="15"/>
    </row>
    <row r="80" spans="1:12" ht="15" customHeight="1" x14ac:dyDescent="0.55000000000000004">
      <c r="A80" s="9" t="s">
        <v>25</v>
      </c>
    </row>
    <row r="81" spans="1:12" ht="27.75" customHeight="1" x14ac:dyDescent="0.55000000000000004">
      <c r="A81" s="44" t="s">
        <v>268</v>
      </c>
      <c r="B81" s="43"/>
      <c r="C81" s="43"/>
      <c r="D81" s="43"/>
      <c r="E81" s="43"/>
      <c r="F81" s="43"/>
      <c r="G81" s="43"/>
      <c r="H81" s="43"/>
      <c r="I81" s="43"/>
      <c r="J81" s="43"/>
      <c r="K81" s="43"/>
      <c r="L81" s="43"/>
    </row>
    <row r="82" spans="1:12" ht="27.75" customHeight="1" x14ac:dyDescent="0.55000000000000004">
      <c r="A82" s="44" t="s">
        <v>262</v>
      </c>
      <c r="B82" s="43"/>
      <c r="C82" s="43"/>
      <c r="D82" s="43"/>
      <c r="E82" s="43"/>
      <c r="F82" s="43"/>
      <c r="G82" s="43"/>
      <c r="H82" s="43"/>
      <c r="I82" s="43"/>
      <c r="J82" s="43"/>
      <c r="K82" s="43"/>
      <c r="L82" s="43"/>
    </row>
    <row r="83" spans="1:12" ht="27.75" customHeight="1" x14ac:dyDescent="0.55000000000000004">
      <c r="A83" s="44" t="s">
        <v>269</v>
      </c>
      <c r="B83" s="43"/>
      <c r="C83" s="43"/>
      <c r="D83" s="43"/>
      <c r="E83" s="43"/>
      <c r="F83" s="43"/>
      <c r="G83" s="43"/>
      <c r="H83" s="43"/>
      <c r="I83" s="43"/>
      <c r="J83" s="43"/>
      <c r="K83" s="43"/>
      <c r="L83" s="43"/>
    </row>
    <row r="84" spans="1:12" ht="27.75" customHeight="1" x14ac:dyDescent="0.55000000000000004">
      <c r="A84" s="44" t="s">
        <v>264</v>
      </c>
      <c r="B84" s="43"/>
      <c r="C84" s="43"/>
      <c r="D84" s="43"/>
      <c r="E84" s="43"/>
      <c r="F84" s="43"/>
      <c r="G84" s="43"/>
      <c r="H84" s="43"/>
      <c r="I84" s="43"/>
      <c r="J84" s="43"/>
      <c r="K84" s="43"/>
      <c r="L84" s="43"/>
    </row>
    <row r="85" spans="1:12" ht="27.75" customHeight="1" x14ac:dyDescent="0.55000000000000004">
      <c r="A85" s="44" t="s">
        <v>270</v>
      </c>
      <c r="B85" s="43"/>
      <c r="C85" s="43"/>
      <c r="D85" s="43"/>
      <c r="E85" s="43"/>
      <c r="F85" s="43"/>
      <c r="G85" s="43"/>
      <c r="H85" s="43"/>
      <c r="I85" s="43"/>
      <c r="J85" s="43"/>
      <c r="K85" s="43"/>
      <c r="L85" s="43"/>
    </row>
    <row r="86" spans="1:12" ht="27.75" customHeight="1" x14ac:dyDescent="0.55000000000000004">
      <c r="A86" s="44" t="s">
        <v>271</v>
      </c>
      <c r="B86" s="43"/>
      <c r="C86" s="43"/>
      <c r="D86" s="43"/>
      <c r="E86" s="43"/>
      <c r="F86" s="43"/>
      <c r="G86" s="43"/>
      <c r="H86" s="43"/>
      <c r="I86" s="43"/>
      <c r="J86" s="43"/>
      <c r="K86" s="43"/>
      <c r="L86" s="43"/>
    </row>
    <row r="87" spans="1:12" ht="27.75" customHeight="1" x14ac:dyDescent="0.55000000000000004">
      <c r="A87" s="44" t="s">
        <v>272</v>
      </c>
      <c r="B87" s="43"/>
      <c r="C87" s="43"/>
      <c r="D87" s="43"/>
      <c r="E87" s="43"/>
      <c r="F87" s="43"/>
      <c r="G87" s="43"/>
      <c r="H87" s="43"/>
      <c r="I87" s="43"/>
      <c r="J87" s="43"/>
      <c r="K87" s="43"/>
      <c r="L87" s="43"/>
    </row>
  </sheetData>
  <mergeCells count="9">
    <mergeCell ref="A1:L1"/>
    <mergeCell ref="A84:L84"/>
    <mergeCell ref="A83:L83"/>
    <mergeCell ref="A87:L87"/>
    <mergeCell ref="A81:L81"/>
    <mergeCell ref="A2:L2"/>
    <mergeCell ref="A86:L86"/>
    <mergeCell ref="A82:L82"/>
    <mergeCell ref="A85:L85"/>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30"/>
  <sheetViews>
    <sheetView zoomScaleNormal="100" workbookViewId="0">
      <selection activeCell="A2" sqref="A2"/>
    </sheetView>
  </sheetViews>
  <sheetFormatPr defaultColWidth="8.68359375" defaultRowHeight="14.4" x14ac:dyDescent="0.55000000000000004"/>
  <cols>
    <col min="1" max="1" width="46" customWidth="1"/>
    <col min="2" max="2" width="14" customWidth="1"/>
  </cols>
  <sheetData>
    <row r="1" spans="1:4" ht="17.350000000000001" customHeight="1" x14ac:dyDescent="0.6">
      <c r="A1" s="50" t="s">
        <v>273</v>
      </c>
      <c r="B1" s="43"/>
      <c r="C1" s="43"/>
      <c r="D1" s="43"/>
    </row>
    <row r="3" spans="1:4" ht="15" customHeight="1" x14ac:dyDescent="0.55000000000000004">
      <c r="A3" s="26" t="s">
        <v>7</v>
      </c>
      <c r="B3" s="27">
        <f>COUNTA('1930 Servants'!$C$5:$C$68)</f>
        <v>64</v>
      </c>
    </row>
    <row r="5" spans="1:4" ht="15" customHeight="1" x14ac:dyDescent="0.55000000000000004">
      <c r="A5" s="26" t="s">
        <v>274</v>
      </c>
    </row>
    <row r="6" spans="1:4" ht="15" customHeight="1" x14ac:dyDescent="0.55000000000000004">
      <c r="A6" s="27" t="s">
        <v>107</v>
      </c>
      <c r="B6" s="27">
        <f>COUNTIF('1930 Servants'!$I$5:$I$68,"White")</f>
        <v>61</v>
      </c>
    </row>
    <row r="7" spans="1:4" ht="15" customHeight="1" x14ac:dyDescent="0.55000000000000004">
      <c r="A7" s="27" t="s">
        <v>206</v>
      </c>
      <c r="B7" s="27">
        <f>COUNTIF('1930 Servants'!$I$5:$I$68,"Black")</f>
        <v>3</v>
      </c>
    </row>
    <row r="9" spans="1:4" ht="15" customHeight="1" x14ac:dyDescent="0.55000000000000004">
      <c r="A9" s="26" t="s">
        <v>275</v>
      </c>
    </row>
    <row r="10" spans="1:4" ht="15" customHeight="1" x14ac:dyDescent="0.55000000000000004">
      <c r="A10" s="27" t="s">
        <v>276</v>
      </c>
      <c r="B10" s="27">
        <f>COUNTIF('1930 Servants'!$G$5:$G$68,"S")</f>
        <v>62</v>
      </c>
    </row>
    <row r="11" spans="1:4" ht="15" customHeight="1" x14ac:dyDescent="0.55000000000000004">
      <c r="A11" s="27" t="s">
        <v>277</v>
      </c>
      <c r="B11" s="27">
        <f>COUNTIF('1930 Servants'!$G$5:$G$68,"Wd")</f>
        <v>1</v>
      </c>
    </row>
    <row r="12" spans="1:4" ht="15" customHeight="1" x14ac:dyDescent="0.55000000000000004">
      <c r="A12" s="27" t="s">
        <v>278</v>
      </c>
      <c r="B12" s="27">
        <f>COUNTIF('1930 Servants'!$G$5:$G$68,"Mar")</f>
        <v>1</v>
      </c>
    </row>
    <row r="14" spans="1:4" ht="15" customHeight="1" x14ac:dyDescent="0.55000000000000004">
      <c r="A14" s="26" t="s">
        <v>279</v>
      </c>
    </row>
    <row r="15" spans="1:4" ht="15" customHeight="1" x14ac:dyDescent="0.55000000000000004">
      <c r="A15" s="27" t="s">
        <v>280</v>
      </c>
      <c r="B15" s="27">
        <f>COUNTIF('1930 Servants'!$H$5:$H$68,"New York")+COUNTIF('1930 Servants'!$H$5:$H$68,"North Carolina")</f>
        <v>6</v>
      </c>
    </row>
    <row r="16" spans="1:4" ht="15" customHeight="1" x14ac:dyDescent="0.55000000000000004">
      <c r="A16" s="27" t="s">
        <v>281</v>
      </c>
      <c r="B16" s="27">
        <f>B3-B15</f>
        <v>58</v>
      </c>
    </row>
    <row r="18" spans="1:6" ht="15" customHeight="1" x14ac:dyDescent="0.55000000000000004">
      <c r="A18" s="26" t="s">
        <v>282</v>
      </c>
    </row>
    <row r="19" spans="1:6" ht="15" customHeight="1" x14ac:dyDescent="0.55000000000000004">
      <c r="A19" s="27" t="s">
        <v>21</v>
      </c>
      <c r="B19" s="27">
        <f>COUNTIF('1930 Servants'!$D$5:$D$68,"Servant/Maid")</f>
        <v>39</v>
      </c>
    </row>
    <row r="20" spans="1:6" ht="15" customHeight="1" x14ac:dyDescent="0.55000000000000004">
      <c r="A20" s="27" t="s">
        <v>23</v>
      </c>
      <c r="B20" s="27">
        <f>COUNTIF('1930 Servants'!$D$5:$D$68,"Maid")</f>
        <v>3</v>
      </c>
    </row>
    <row r="21" spans="1:6" ht="15" customHeight="1" x14ac:dyDescent="0.55000000000000004">
      <c r="A21" s="27" t="s">
        <v>151</v>
      </c>
      <c r="B21" s="27">
        <f>COUNTIF('1930 Servants'!$D$5:$D$68,"Cook")</f>
        <v>10</v>
      </c>
    </row>
    <row r="22" spans="1:6" ht="15" customHeight="1" x14ac:dyDescent="0.55000000000000004">
      <c r="A22" s="27" t="s">
        <v>121</v>
      </c>
      <c r="B22" s="27">
        <f>COUNTIF('1930 Servants'!$D$5:$D$68,"Nurse")</f>
        <v>9</v>
      </c>
    </row>
    <row r="23" spans="1:6" ht="15" customHeight="1" x14ac:dyDescent="0.55000000000000004">
      <c r="A23" s="27" t="s">
        <v>187</v>
      </c>
      <c r="B23" s="27">
        <f>COUNTIF('1930 Servants'!$D$5:$D$68,"Domestic")</f>
        <v>1</v>
      </c>
    </row>
    <row r="24" spans="1:6" ht="15" customHeight="1" x14ac:dyDescent="0.55000000000000004">
      <c r="A24" s="27" t="s">
        <v>181</v>
      </c>
      <c r="B24" s="27">
        <f>COUNTIF('1930 Servants'!$D$5:$D$68,"Governess")</f>
        <v>1</v>
      </c>
    </row>
    <row r="25" spans="1:6" ht="15" customHeight="1" x14ac:dyDescent="0.55000000000000004">
      <c r="A25" s="27" t="s">
        <v>209</v>
      </c>
      <c r="B25" s="27">
        <f>COUNTIF('1930 Servants'!$D$5:$D$68,"Waitress")</f>
        <v>1</v>
      </c>
    </row>
    <row r="27" spans="1:6" ht="15" customHeight="1" x14ac:dyDescent="0.55000000000000004">
      <c r="A27" s="26" t="s">
        <v>283</v>
      </c>
      <c r="B27" s="27">
        <f>AVERAGE('1930 Servants'!$E$5:$E$68)</f>
        <v>27.71875</v>
      </c>
    </row>
    <row r="28" spans="1:6" ht="15" customHeight="1" x14ac:dyDescent="0.55000000000000004">
      <c r="A28" s="26" t="s">
        <v>284</v>
      </c>
      <c r="B28" s="27">
        <f>MEDIAN('1930 Servants'!$E$5:$E$68)</f>
        <v>24</v>
      </c>
    </row>
    <row r="30" spans="1:6" ht="27.75" customHeight="1" x14ac:dyDescent="0.55000000000000004">
      <c r="A30" s="51" t="s">
        <v>285</v>
      </c>
      <c r="B30" s="52"/>
      <c r="C30" s="52"/>
      <c r="D30" s="52"/>
      <c r="E30" s="52"/>
      <c r="F30" s="53"/>
    </row>
  </sheetData>
  <mergeCells count="2">
    <mergeCell ref="A1:D1"/>
    <mergeCell ref="A30:F30"/>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108"/>
  <sheetViews>
    <sheetView zoomScaleNormal="100" workbookViewId="0">
      <pane ySplit="4" topLeftCell="A53" activePane="bottomLeft" state="frozen"/>
      <selection pane="bottomLeft" activeCell="D64" sqref="D64"/>
    </sheetView>
  </sheetViews>
  <sheetFormatPr defaultColWidth="8.68359375" defaultRowHeight="14.4" x14ac:dyDescent="0.55000000000000004"/>
  <cols>
    <col min="1" max="1" width="10" customWidth="1"/>
    <col min="2" max="2" width="6" customWidth="1"/>
    <col min="3" max="3" width="26" customWidth="1"/>
    <col min="4" max="4" width="16" customWidth="1"/>
    <col min="5" max="5" width="6" customWidth="1"/>
    <col min="6" max="6" width="5" customWidth="1"/>
    <col min="7" max="7" width="10" customWidth="1"/>
    <col min="8" max="8" width="20" customWidth="1"/>
    <col min="9" max="9" width="8" customWidth="1"/>
    <col min="10" max="10" width="28" customWidth="1"/>
    <col min="11" max="11" width="12" customWidth="1"/>
    <col min="12" max="12" width="45" customWidth="1"/>
  </cols>
  <sheetData>
    <row r="1" spans="1:12" ht="17.350000000000001" customHeight="1" x14ac:dyDescent="0.6">
      <c r="A1" s="45" t="s">
        <v>286</v>
      </c>
      <c r="B1" s="43"/>
      <c r="C1" s="43"/>
      <c r="D1" s="43"/>
      <c r="E1" s="43"/>
      <c r="F1" s="43"/>
      <c r="G1" s="43"/>
      <c r="H1" s="43"/>
      <c r="I1" s="43"/>
      <c r="J1" s="43"/>
      <c r="K1" s="43"/>
      <c r="L1" s="43"/>
    </row>
    <row r="2" spans="1:12" ht="15" customHeight="1" x14ac:dyDescent="0.55000000000000004">
      <c r="A2" s="42" t="s">
        <v>287</v>
      </c>
      <c r="B2" s="43"/>
      <c r="C2" s="43"/>
      <c r="D2" s="43"/>
      <c r="E2" s="43"/>
      <c r="F2" s="43"/>
      <c r="G2" s="43"/>
      <c r="H2" s="43"/>
      <c r="I2" s="43"/>
      <c r="J2" s="43"/>
      <c r="K2" s="43"/>
      <c r="L2" s="43"/>
    </row>
    <row r="3" spans="1:12" x14ac:dyDescent="0.55000000000000004">
      <c r="A3" t="s">
        <v>621</v>
      </c>
    </row>
    <row r="4" spans="1:12" ht="23.85" customHeight="1" x14ac:dyDescent="0.55000000000000004">
      <c r="A4" s="19" t="s">
        <v>91</v>
      </c>
      <c r="B4" s="19" t="s">
        <v>92</v>
      </c>
      <c r="C4" s="19" t="s">
        <v>93</v>
      </c>
      <c r="D4" s="19" t="s">
        <v>94</v>
      </c>
      <c r="E4" s="19" t="s">
        <v>95</v>
      </c>
      <c r="F4" s="19" t="s">
        <v>96</v>
      </c>
      <c r="G4" s="19" t="s">
        <v>97</v>
      </c>
      <c r="H4" s="19" t="s">
        <v>98</v>
      </c>
      <c r="I4" s="19" t="s">
        <v>99</v>
      </c>
      <c r="J4" s="19" t="s">
        <v>100</v>
      </c>
      <c r="K4" s="19" t="s">
        <v>288</v>
      </c>
      <c r="L4" s="19" t="s">
        <v>39</v>
      </c>
    </row>
    <row r="5" spans="1:12" ht="15" customHeight="1" x14ac:dyDescent="0.55000000000000004">
      <c r="A5" s="11" t="s">
        <v>289</v>
      </c>
      <c r="B5" s="11">
        <v>6</v>
      </c>
      <c r="C5" s="3" t="s">
        <v>290</v>
      </c>
      <c r="D5" s="3" t="s">
        <v>121</v>
      </c>
      <c r="E5" s="11">
        <v>47</v>
      </c>
      <c r="F5" s="11" t="s">
        <v>104</v>
      </c>
      <c r="G5" s="11" t="s">
        <v>105</v>
      </c>
      <c r="H5" s="3" t="s">
        <v>106</v>
      </c>
      <c r="I5" s="11" t="s">
        <v>107</v>
      </c>
      <c r="J5" s="3" t="s">
        <v>42</v>
      </c>
      <c r="K5" s="11">
        <v>1</v>
      </c>
      <c r="L5" s="12"/>
    </row>
    <row r="6" spans="1:12" ht="15" customHeight="1" x14ac:dyDescent="0.55000000000000004">
      <c r="A6" s="20" t="s">
        <v>289</v>
      </c>
      <c r="B6" s="20">
        <v>7</v>
      </c>
      <c r="C6" s="21" t="s">
        <v>291</v>
      </c>
      <c r="D6" s="21" t="s">
        <v>292</v>
      </c>
      <c r="E6" s="20">
        <v>25</v>
      </c>
      <c r="F6" s="20" t="s">
        <v>293</v>
      </c>
      <c r="G6" s="20" t="s">
        <v>202</v>
      </c>
      <c r="H6" s="21" t="s">
        <v>294</v>
      </c>
      <c r="I6" s="20" t="s">
        <v>206</v>
      </c>
      <c r="J6" s="21" t="s">
        <v>42</v>
      </c>
      <c r="K6" s="20">
        <v>1</v>
      </c>
      <c r="L6" s="22"/>
    </row>
    <row r="7" spans="1:12" ht="15" customHeight="1" x14ac:dyDescent="0.55000000000000004">
      <c r="A7" s="11" t="s">
        <v>289</v>
      </c>
      <c r="B7" s="11">
        <v>8</v>
      </c>
      <c r="C7" s="3" t="s">
        <v>295</v>
      </c>
      <c r="D7" s="3" t="s">
        <v>151</v>
      </c>
      <c r="E7" s="11">
        <v>25</v>
      </c>
      <c r="F7" s="11" t="s">
        <v>104</v>
      </c>
      <c r="G7" s="11" t="s">
        <v>202</v>
      </c>
      <c r="H7" s="3" t="s">
        <v>296</v>
      </c>
      <c r="I7" s="11" t="s">
        <v>206</v>
      </c>
      <c r="J7" s="3" t="s">
        <v>42</v>
      </c>
      <c r="K7" s="11">
        <v>1</v>
      </c>
      <c r="L7" s="12"/>
    </row>
    <row r="8" spans="1:12" ht="15" customHeight="1" x14ac:dyDescent="0.55000000000000004">
      <c r="A8" s="20" t="s">
        <v>289</v>
      </c>
      <c r="B8" s="20">
        <v>20</v>
      </c>
      <c r="C8" s="21" t="s">
        <v>297</v>
      </c>
      <c r="D8" s="21" t="s">
        <v>22</v>
      </c>
      <c r="E8" s="20">
        <v>25</v>
      </c>
      <c r="F8" s="20" t="s">
        <v>104</v>
      </c>
      <c r="G8" s="20" t="s">
        <v>105</v>
      </c>
      <c r="H8" s="21" t="s">
        <v>298</v>
      </c>
      <c r="I8" s="20" t="s">
        <v>107</v>
      </c>
      <c r="J8" s="21" t="s">
        <v>299</v>
      </c>
      <c r="K8" s="20">
        <v>6</v>
      </c>
      <c r="L8" s="22"/>
    </row>
    <row r="9" spans="1:12" ht="15" customHeight="1" x14ac:dyDescent="0.55000000000000004">
      <c r="A9" s="11" t="s">
        <v>289</v>
      </c>
      <c r="B9" s="11">
        <v>26</v>
      </c>
      <c r="C9" s="3" t="s">
        <v>300</v>
      </c>
      <c r="D9" s="3" t="s">
        <v>22</v>
      </c>
      <c r="E9" s="11">
        <v>30</v>
      </c>
      <c r="F9" s="11" t="s">
        <v>104</v>
      </c>
      <c r="G9" s="11" t="s">
        <v>105</v>
      </c>
      <c r="H9" s="3" t="s">
        <v>301</v>
      </c>
      <c r="I9" s="11" t="s">
        <v>107</v>
      </c>
      <c r="J9" s="3" t="s">
        <v>65</v>
      </c>
      <c r="K9" s="11">
        <v>9</v>
      </c>
      <c r="L9" s="12"/>
    </row>
    <row r="10" spans="1:12" ht="23.85" customHeight="1" x14ac:dyDescent="0.55000000000000004">
      <c r="A10" s="16" t="s">
        <v>289</v>
      </c>
      <c r="B10" s="16">
        <v>31</v>
      </c>
      <c r="C10" s="17" t="s">
        <v>302</v>
      </c>
      <c r="D10" s="17" t="s">
        <v>22</v>
      </c>
      <c r="E10" s="16">
        <v>60</v>
      </c>
      <c r="F10" s="16" t="s">
        <v>104</v>
      </c>
      <c r="G10" s="16" t="s">
        <v>105</v>
      </c>
      <c r="H10" s="17" t="s">
        <v>301</v>
      </c>
      <c r="I10" s="16" t="s">
        <v>107</v>
      </c>
      <c r="J10" s="17" t="s">
        <v>65</v>
      </c>
      <c r="K10" s="16">
        <v>9</v>
      </c>
      <c r="L10" s="18" t="s">
        <v>303</v>
      </c>
    </row>
    <row r="11" spans="1:12" ht="15" customHeight="1" x14ac:dyDescent="0.55000000000000004">
      <c r="A11" s="11" t="s">
        <v>289</v>
      </c>
      <c r="B11" s="11">
        <v>36</v>
      </c>
      <c r="C11" s="3" t="s">
        <v>304</v>
      </c>
      <c r="D11" s="3" t="s">
        <v>22</v>
      </c>
      <c r="E11" s="11">
        <v>42</v>
      </c>
      <c r="F11" s="11" t="s">
        <v>104</v>
      </c>
      <c r="G11" s="11" t="s">
        <v>105</v>
      </c>
      <c r="H11" s="3" t="s">
        <v>110</v>
      </c>
      <c r="I11" s="11" t="s">
        <v>107</v>
      </c>
      <c r="J11" s="3" t="s">
        <v>305</v>
      </c>
      <c r="K11" s="11">
        <v>11</v>
      </c>
      <c r="L11" s="12"/>
    </row>
    <row r="12" spans="1:12" ht="15" customHeight="1" x14ac:dyDescent="0.55000000000000004">
      <c r="A12" s="16" t="s">
        <v>306</v>
      </c>
      <c r="B12" s="16">
        <v>46</v>
      </c>
      <c r="C12" s="17" t="s">
        <v>307</v>
      </c>
      <c r="D12" s="17" t="s">
        <v>22</v>
      </c>
      <c r="E12" s="16">
        <v>44</v>
      </c>
      <c r="F12" s="16" t="s">
        <v>104</v>
      </c>
      <c r="G12" s="16" t="s">
        <v>105</v>
      </c>
      <c r="H12" s="17" t="s">
        <v>298</v>
      </c>
      <c r="I12" s="16" t="s">
        <v>107</v>
      </c>
      <c r="J12" s="17" t="s">
        <v>308</v>
      </c>
      <c r="K12" s="16">
        <v>15</v>
      </c>
      <c r="L12" s="18" t="s">
        <v>133</v>
      </c>
    </row>
    <row r="13" spans="1:12" ht="15" customHeight="1" x14ac:dyDescent="0.55000000000000004">
      <c r="A13" s="11" t="s">
        <v>306</v>
      </c>
      <c r="B13" s="11">
        <v>51</v>
      </c>
      <c r="C13" s="3" t="s">
        <v>309</v>
      </c>
      <c r="D13" s="3" t="s">
        <v>22</v>
      </c>
      <c r="E13" s="11">
        <v>23</v>
      </c>
      <c r="F13" s="11" t="s">
        <v>104</v>
      </c>
      <c r="G13" s="11" t="s">
        <v>105</v>
      </c>
      <c r="H13" s="3" t="s">
        <v>162</v>
      </c>
      <c r="I13" s="11" t="s">
        <v>107</v>
      </c>
      <c r="J13" s="3" t="s">
        <v>310</v>
      </c>
      <c r="K13" s="11">
        <v>16</v>
      </c>
      <c r="L13" s="12"/>
    </row>
    <row r="14" spans="1:12" ht="15" customHeight="1" x14ac:dyDescent="0.55000000000000004">
      <c r="A14" s="20" t="s">
        <v>306</v>
      </c>
      <c r="B14" s="20">
        <v>56</v>
      </c>
      <c r="C14" s="21" t="s">
        <v>311</v>
      </c>
      <c r="D14" s="21" t="s">
        <v>22</v>
      </c>
      <c r="E14" s="20">
        <v>28</v>
      </c>
      <c r="F14" s="20" t="s">
        <v>104</v>
      </c>
      <c r="G14" s="20" t="s">
        <v>105</v>
      </c>
      <c r="H14" s="21" t="s">
        <v>298</v>
      </c>
      <c r="I14" s="20" t="s">
        <v>107</v>
      </c>
      <c r="J14" s="21" t="s">
        <v>312</v>
      </c>
      <c r="K14" s="20">
        <v>17</v>
      </c>
      <c r="L14" s="22"/>
    </row>
    <row r="15" spans="1:12" ht="15" customHeight="1" x14ac:dyDescent="0.55000000000000004">
      <c r="A15" s="11" t="s">
        <v>306</v>
      </c>
      <c r="B15" s="11">
        <v>63</v>
      </c>
      <c r="C15" s="3" t="s">
        <v>313</v>
      </c>
      <c r="D15" s="3" t="s">
        <v>22</v>
      </c>
      <c r="E15" s="11">
        <v>30</v>
      </c>
      <c r="F15" s="11" t="s">
        <v>104</v>
      </c>
      <c r="G15" s="11" t="s">
        <v>105</v>
      </c>
      <c r="H15" s="3" t="s">
        <v>116</v>
      </c>
      <c r="I15" s="11" t="s">
        <v>107</v>
      </c>
      <c r="J15" s="3" t="s">
        <v>165</v>
      </c>
      <c r="K15" s="11">
        <v>19</v>
      </c>
      <c r="L15" s="12"/>
    </row>
    <row r="16" spans="1:12" ht="15" customHeight="1" x14ac:dyDescent="0.55000000000000004">
      <c r="A16" s="20" t="s">
        <v>306</v>
      </c>
      <c r="B16" s="20">
        <v>72</v>
      </c>
      <c r="C16" s="21" t="s">
        <v>314</v>
      </c>
      <c r="D16" s="21" t="s">
        <v>22</v>
      </c>
      <c r="E16" s="20">
        <v>44</v>
      </c>
      <c r="F16" s="20" t="s">
        <v>104</v>
      </c>
      <c r="G16" s="20" t="s">
        <v>105</v>
      </c>
      <c r="H16" s="21" t="s">
        <v>315</v>
      </c>
      <c r="I16" s="20" t="s">
        <v>107</v>
      </c>
      <c r="J16" s="21" t="s">
        <v>316</v>
      </c>
      <c r="K16" s="20">
        <v>23</v>
      </c>
      <c r="L16" s="22"/>
    </row>
    <row r="17" spans="1:12" ht="15" customHeight="1" x14ac:dyDescent="0.55000000000000004">
      <c r="A17" s="11" t="s">
        <v>317</v>
      </c>
      <c r="B17" s="11">
        <v>1</v>
      </c>
      <c r="C17" s="3" t="s">
        <v>318</v>
      </c>
      <c r="D17" s="3" t="s">
        <v>22</v>
      </c>
      <c r="E17" s="11">
        <v>26</v>
      </c>
      <c r="F17" s="11" t="s">
        <v>104</v>
      </c>
      <c r="G17" s="11" t="s">
        <v>105</v>
      </c>
      <c r="H17" s="3" t="s">
        <v>298</v>
      </c>
      <c r="I17" s="11" t="s">
        <v>107</v>
      </c>
      <c r="J17" s="3" t="s">
        <v>67</v>
      </c>
      <c r="K17" s="11">
        <v>25</v>
      </c>
      <c r="L17" s="12"/>
    </row>
    <row r="18" spans="1:12" ht="15" customHeight="1" x14ac:dyDescent="0.55000000000000004">
      <c r="A18" s="20" t="s">
        <v>317</v>
      </c>
      <c r="B18" s="20">
        <v>9</v>
      </c>
      <c r="C18" s="21" t="s">
        <v>319</v>
      </c>
      <c r="D18" s="21" t="s">
        <v>22</v>
      </c>
      <c r="E18" s="20">
        <v>23</v>
      </c>
      <c r="F18" s="20" t="s">
        <v>104</v>
      </c>
      <c r="G18" s="20" t="s">
        <v>105</v>
      </c>
      <c r="H18" s="21" t="s">
        <v>110</v>
      </c>
      <c r="I18" s="20" t="s">
        <v>107</v>
      </c>
      <c r="J18" s="21" t="s">
        <v>320</v>
      </c>
      <c r="K18" s="20">
        <v>28</v>
      </c>
      <c r="L18" s="22"/>
    </row>
    <row r="19" spans="1:12" ht="15" customHeight="1" x14ac:dyDescent="0.55000000000000004">
      <c r="A19" s="11" t="s">
        <v>317</v>
      </c>
      <c r="B19" s="11">
        <v>12</v>
      </c>
      <c r="C19" s="3" t="s">
        <v>321</v>
      </c>
      <c r="D19" s="3" t="s">
        <v>22</v>
      </c>
      <c r="E19" s="11">
        <v>39</v>
      </c>
      <c r="F19" s="11" t="s">
        <v>104</v>
      </c>
      <c r="G19" s="11" t="s">
        <v>105</v>
      </c>
      <c r="H19" s="3" t="s">
        <v>322</v>
      </c>
      <c r="I19" s="11" t="s">
        <v>107</v>
      </c>
      <c r="J19" s="3" t="s">
        <v>323</v>
      </c>
      <c r="K19" s="11">
        <v>29</v>
      </c>
      <c r="L19" s="12"/>
    </row>
    <row r="20" spans="1:12" ht="15" customHeight="1" x14ac:dyDescent="0.55000000000000004">
      <c r="A20" s="20" t="s">
        <v>317</v>
      </c>
      <c r="B20" s="20">
        <v>29</v>
      </c>
      <c r="C20" s="21" t="s">
        <v>324</v>
      </c>
      <c r="D20" s="21" t="s">
        <v>151</v>
      </c>
      <c r="E20" s="20">
        <v>27</v>
      </c>
      <c r="F20" s="20" t="s">
        <v>104</v>
      </c>
      <c r="G20" s="20" t="s">
        <v>105</v>
      </c>
      <c r="H20" s="21" t="s">
        <v>110</v>
      </c>
      <c r="I20" s="20" t="s">
        <v>107</v>
      </c>
      <c r="J20" s="21" t="s">
        <v>70</v>
      </c>
      <c r="K20" s="20">
        <v>35</v>
      </c>
      <c r="L20" s="22"/>
    </row>
    <row r="21" spans="1:12" ht="15" customHeight="1" x14ac:dyDescent="0.55000000000000004">
      <c r="A21" s="11" t="s">
        <v>317</v>
      </c>
      <c r="B21" s="11">
        <v>30</v>
      </c>
      <c r="C21" s="3" t="s">
        <v>325</v>
      </c>
      <c r="D21" s="3" t="s">
        <v>121</v>
      </c>
      <c r="E21" s="11">
        <v>23</v>
      </c>
      <c r="F21" s="11" t="s">
        <v>104</v>
      </c>
      <c r="G21" s="11" t="s">
        <v>105</v>
      </c>
      <c r="H21" s="3" t="s">
        <v>326</v>
      </c>
      <c r="I21" s="11" t="s">
        <v>107</v>
      </c>
      <c r="J21" s="3" t="s">
        <v>70</v>
      </c>
      <c r="K21" s="11">
        <v>35</v>
      </c>
      <c r="L21" s="12"/>
    </row>
    <row r="22" spans="1:12" ht="15" customHeight="1" x14ac:dyDescent="0.55000000000000004">
      <c r="A22" s="20" t="s">
        <v>327</v>
      </c>
      <c r="B22" s="20">
        <v>43</v>
      </c>
      <c r="C22" s="21" t="s">
        <v>328</v>
      </c>
      <c r="D22" s="21" t="s">
        <v>22</v>
      </c>
      <c r="E22" s="20">
        <v>43</v>
      </c>
      <c r="F22" s="20" t="s">
        <v>104</v>
      </c>
      <c r="G22" s="20" t="s">
        <v>105</v>
      </c>
      <c r="H22" s="21" t="s">
        <v>329</v>
      </c>
      <c r="I22" s="20" t="s">
        <v>107</v>
      </c>
      <c r="J22" s="21" t="s">
        <v>330</v>
      </c>
      <c r="K22" s="20">
        <v>39</v>
      </c>
      <c r="L22" s="22"/>
    </row>
    <row r="23" spans="1:12" ht="15" customHeight="1" x14ac:dyDescent="0.55000000000000004">
      <c r="A23" s="11" t="s">
        <v>327</v>
      </c>
      <c r="B23" s="11">
        <v>51</v>
      </c>
      <c r="C23" s="3" t="s">
        <v>331</v>
      </c>
      <c r="D23" s="3" t="s">
        <v>22</v>
      </c>
      <c r="E23" s="11">
        <v>28</v>
      </c>
      <c r="F23" s="11" t="s">
        <v>104</v>
      </c>
      <c r="G23" s="11" t="s">
        <v>105</v>
      </c>
      <c r="H23" s="3" t="s">
        <v>296</v>
      </c>
      <c r="I23" s="11" t="s">
        <v>206</v>
      </c>
      <c r="J23" s="3" t="s">
        <v>332</v>
      </c>
      <c r="K23" s="11">
        <v>41</v>
      </c>
      <c r="L23" s="12"/>
    </row>
    <row r="24" spans="1:12" ht="15" customHeight="1" x14ac:dyDescent="0.55000000000000004">
      <c r="A24" s="20" t="s">
        <v>327</v>
      </c>
      <c r="B24" s="20">
        <v>56</v>
      </c>
      <c r="C24" s="21" t="s">
        <v>333</v>
      </c>
      <c r="D24" s="21" t="s">
        <v>22</v>
      </c>
      <c r="E24" s="20">
        <v>48</v>
      </c>
      <c r="F24" s="20" t="s">
        <v>104</v>
      </c>
      <c r="G24" s="20" t="s">
        <v>105</v>
      </c>
      <c r="H24" s="21" t="s">
        <v>110</v>
      </c>
      <c r="I24" s="20" t="s">
        <v>107</v>
      </c>
      <c r="J24" s="21" t="s">
        <v>334</v>
      </c>
      <c r="K24" s="20">
        <v>42</v>
      </c>
      <c r="L24" s="22"/>
    </row>
    <row r="25" spans="1:12" ht="15" customHeight="1" x14ac:dyDescent="0.55000000000000004">
      <c r="A25" s="11" t="s">
        <v>327</v>
      </c>
      <c r="B25" s="11">
        <v>69</v>
      </c>
      <c r="C25" s="3" t="s">
        <v>335</v>
      </c>
      <c r="D25" s="3" t="s">
        <v>22</v>
      </c>
      <c r="E25" s="11">
        <v>53</v>
      </c>
      <c r="F25" s="11" t="s">
        <v>104</v>
      </c>
      <c r="G25" s="11" t="s">
        <v>105</v>
      </c>
      <c r="H25" s="3" t="s">
        <v>110</v>
      </c>
      <c r="I25" s="11" t="s">
        <v>107</v>
      </c>
      <c r="J25" s="3" t="s">
        <v>336</v>
      </c>
      <c r="K25" s="11">
        <v>46</v>
      </c>
      <c r="L25" s="12"/>
    </row>
    <row r="26" spans="1:12" ht="15" customHeight="1" x14ac:dyDescent="0.55000000000000004">
      <c r="A26" s="20" t="s">
        <v>327</v>
      </c>
      <c r="B26" s="20">
        <v>73</v>
      </c>
      <c r="C26" s="21" t="s">
        <v>337</v>
      </c>
      <c r="D26" s="21" t="s">
        <v>22</v>
      </c>
      <c r="E26" s="20">
        <v>18</v>
      </c>
      <c r="F26" s="20" t="s">
        <v>104</v>
      </c>
      <c r="G26" s="20" t="s">
        <v>105</v>
      </c>
      <c r="H26" s="21" t="s">
        <v>298</v>
      </c>
      <c r="I26" s="20" t="s">
        <v>107</v>
      </c>
      <c r="J26" s="21" t="s">
        <v>338</v>
      </c>
      <c r="K26" s="20">
        <v>47</v>
      </c>
      <c r="L26" s="22"/>
    </row>
    <row r="27" spans="1:12" ht="15" customHeight="1" x14ac:dyDescent="0.55000000000000004">
      <c r="A27" s="16" t="s">
        <v>339</v>
      </c>
      <c r="B27" s="16">
        <v>5</v>
      </c>
      <c r="C27" s="17" t="s">
        <v>340</v>
      </c>
      <c r="D27" s="17" t="s">
        <v>341</v>
      </c>
      <c r="E27" s="16">
        <v>28</v>
      </c>
      <c r="F27" s="16" t="s">
        <v>104</v>
      </c>
      <c r="G27" s="16" t="s">
        <v>105</v>
      </c>
      <c r="H27" s="17" t="s">
        <v>342</v>
      </c>
      <c r="I27" s="16" t="s">
        <v>107</v>
      </c>
      <c r="J27" s="17" t="s">
        <v>343</v>
      </c>
      <c r="K27" s="16">
        <v>52</v>
      </c>
      <c r="L27" s="18" t="s">
        <v>57</v>
      </c>
    </row>
    <row r="28" spans="1:12" ht="15" customHeight="1" x14ac:dyDescent="0.55000000000000004">
      <c r="A28" s="16" t="s">
        <v>339</v>
      </c>
      <c r="B28" s="16">
        <v>23</v>
      </c>
      <c r="C28" s="17" t="s">
        <v>344</v>
      </c>
      <c r="D28" s="17" t="s">
        <v>22</v>
      </c>
      <c r="E28" s="16">
        <v>69</v>
      </c>
      <c r="F28" s="16" t="s">
        <v>104</v>
      </c>
      <c r="G28" s="16" t="s">
        <v>182</v>
      </c>
      <c r="H28" s="17" t="s">
        <v>345</v>
      </c>
      <c r="I28" s="16" t="s">
        <v>107</v>
      </c>
      <c r="J28" s="17" t="s">
        <v>346</v>
      </c>
      <c r="K28" s="16">
        <v>56</v>
      </c>
      <c r="L28" s="18" t="s">
        <v>178</v>
      </c>
    </row>
    <row r="29" spans="1:12" ht="15" customHeight="1" x14ac:dyDescent="0.55000000000000004">
      <c r="A29" s="11" t="s">
        <v>339</v>
      </c>
      <c r="B29" s="11">
        <v>31</v>
      </c>
      <c r="C29" s="3" t="s">
        <v>347</v>
      </c>
      <c r="D29" s="3" t="s">
        <v>22</v>
      </c>
      <c r="E29" s="11">
        <v>26</v>
      </c>
      <c r="F29" s="11" t="s">
        <v>104</v>
      </c>
      <c r="G29" s="11" t="s">
        <v>105</v>
      </c>
      <c r="H29" s="3" t="s">
        <v>256</v>
      </c>
      <c r="I29" s="11" t="s">
        <v>206</v>
      </c>
      <c r="J29" s="3" t="s">
        <v>348</v>
      </c>
      <c r="K29" s="11">
        <v>58</v>
      </c>
      <c r="L29" s="12"/>
    </row>
    <row r="30" spans="1:12" ht="15" customHeight="1" x14ac:dyDescent="0.55000000000000004">
      <c r="A30" s="20" t="s">
        <v>339</v>
      </c>
      <c r="B30" s="20">
        <v>37</v>
      </c>
      <c r="C30" s="21" t="s">
        <v>349</v>
      </c>
      <c r="D30" s="21" t="s">
        <v>22</v>
      </c>
      <c r="E30" s="20">
        <v>27</v>
      </c>
      <c r="F30" s="20" t="s">
        <v>104</v>
      </c>
      <c r="G30" s="20" t="s">
        <v>105</v>
      </c>
      <c r="H30" s="21" t="s">
        <v>350</v>
      </c>
      <c r="I30" s="20" t="s">
        <v>206</v>
      </c>
      <c r="J30" s="21" t="s">
        <v>351</v>
      </c>
      <c r="K30" s="20">
        <v>60</v>
      </c>
      <c r="L30" s="22"/>
    </row>
    <row r="31" spans="1:12" ht="35.049999999999997" customHeight="1" x14ac:dyDescent="0.55000000000000004">
      <c r="A31" s="16" t="s">
        <v>352</v>
      </c>
      <c r="B31" s="16">
        <v>43</v>
      </c>
      <c r="C31" s="17" t="s">
        <v>353</v>
      </c>
      <c r="D31" s="17" t="s">
        <v>121</v>
      </c>
      <c r="E31" s="16">
        <v>30</v>
      </c>
      <c r="F31" s="16" t="s">
        <v>104</v>
      </c>
      <c r="G31" s="16" t="s">
        <v>105</v>
      </c>
      <c r="H31" s="17" t="s">
        <v>110</v>
      </c>
      <c r="I31" s="16" t="s">
        <v>107</v>
      </c>
      <c r="J31" s="17" t="s">
        <v>354</v>
      </c>
      <c r="K31" s="16">
        <v>62</v>
      </c>
      <c r="L31" s="18" t="s">
        <v>355</v>
      </c>
    </row>
    <row r="32" spans="1:12" ht="15" customHeight="1" x14ac:dyDescent="0.55000000000000004">
      <c r="A32" s="20" t="s">
        <v>352</v>
      </c>
      <c r="B32" s="20">
        <v>47</v>
      </c>
      <c r="C32" s="21" t="s">
        <v>356</v>
      </c>
      <c r="D32" s="21" t="s">
        <v>22</v>
      </c>
      <c r="E32" s="20">
        <v>34</v>
      </c>
      <c r="F32" s="20" t="s">
        <v>104</v>
      </c>
      <c r="G32" s="20" t="s">
        <v>105</v>
      </c>
      <c r="H32" s="21" t="s">
        <v>298</v>
      </c>
      <c r="I32" s="20" t="s">
        <v>107</v>
      </c>
      <c r="J32" s="21" t="s">
        <v>357</v>
      </c>
      <c r="K32" s="20">
        <v>63</v>
      </c>
      <c r="L32" s="22"/>
    </row>
    <row r="33" spans="1:12" ht="15" customHeight="1" x14ac:dyDescent="0.55000000000000004">
      <c r="A33" s="11" t="s">
        <v>352</v>
      </c>
      <c r="B33" s="11">
        <v>54</v>
      </c>
      <c r="C33" s="3" t="s">
        <v>358</v>
      </c>
      <c r="D33" s="3" t="s">
        <v>22</v>
      </c>
      <c r="E33" s="11">
        <v>45</v>
      </c>
      <c r="F33" s="11" t="s">
        <v>104</v>
      </c>
      <c r="G33" s="11" t="s">
        <v>105</v>
      </c>
      <c r="H33" s="3" t="s">
        <v>359</v>
      </c>
      <c r="I33" s="11" t="s">
        <v>107</v>
      </c>
      <c r="J33" s="3" t="s">
        <v>360</v>
      </c>
      <c r="K33" s="11">
        <v>65</v>
      </c>
      <c r="L33" s="12"/>
    </row>
    <row r="34" spans="1:12" ht="15" customHeight="1" x14ac:dyDescent="0.55000000000000004">
      <c r="A34" s="20" t="s">
        <v>352</v>
      </c>
      <c r="B34" s="20">
        <v>59</v>
      </c>
      <c r="C34" s="21" t="s">
        <v>361</v>
      </c>
      <c r="D34" s="21" t="s">
        <v>22</v>
      </c>
      <c r="E34" s="20">
        <v>24</v>
      </c>
      <c r="F34" s="20" t="s">
        <v>104</v>
      </c>
      <c r="G34" s="20" t="s">
        <v>105</v>
      </c>
      <c r="H34" s="21" t="s">
        <v>298</v>
      </c>
      <c r="I34" s="20" t="s">
        <v>107</v>
      </c>
      <c r="J34" s="21" t="s">
        <v>362</v>
      </c>
      <c r="K34" s="20">
        <v>66</v>
      </c>
      <c r="L34" s="22"/>
    </row>
    <row r="35" spans="1:12" ht="15" customHeight="1" x14ac:dyDescent="0.55000000000000004">
      <c r="A35" s="11" t="s">
        <v>352</v>
      </c>
      <c r="B35" s="11">
        <v>63</v>
      </c>
      <c r="C35" s="3" t="s">
        <v>363</v>
      </c>
      <c r="D35" s="3" t="s">
        <v>22</v>
      </c>
      <c r="E35" s="11">
        <v>34</v>
      </c>
      <c r="F35" s="11" t="s">
        <v>104</v>
      </c>
      <c r="G35" s="11" t="s">
        <v>105</v>
      </c>
      <c r="H35" s="3" t="s">
        <v>106</v>
      </c>
      <c r="I35" s="11" t="s">
        <v>107</v>
      </c>
      <c r="J35" s="3" t="s">
        <v>364</v>
      </c>
      <c r="K35" s="11">
        <v>67</v>
      </c>
      <c r="L35" s="12"/>
    </row>
    <row r="36" spans="1:12" ht="15" customHeight="1" x14ac:dyDescent="0.55000000000000004">
      <c r="A36" s="16" t="s">
        <v>352</v>
      </c>
      <c r="B36" s="16">
        <v>77</v>
      </c>
      <c r="C36" s="17" t="s">
        <v>365</v>
      </c>
      <c r="D36" s="17" t="s">
        <v>22</v>
      </c>
      <c r="E36" s="16">
        <v>18</v>
      </c>
      <c r="F36" s="16" t="s">
        <v>104</v>
      </c>
      <c r="G36" s="16" t="s">
        <v>105</v>
      </c>
      <c r="H36" s="17" t="s">
        <v>298</v>
      </c>
      <c r="I36" s="16" t="s">
        <v>107</v>
      </c>
      <c r="J36" s="17" t="s">
        <v>366</v>
      </c>
      <c r="K36" s="16">
        <v>71</v>
      </c>
      <c r="L36" s="18" t="s">
        <v>178</v>
      </c>
    </row>
    <row r="37" spans="1:12" ht="15" customHeight="1" x14ac:dyDescent="0.55000000000000004">
      <c r="A37" s="11" t="s">
        <v>367</v>
      </c>
      <c r="B37" s="11">
        <v>6</v>
      </c>
      <c r="C37" s="3" t="s">
        <v>368</v>
      </c>
      <c r="D37" s="3" t="s">
        <v>22</v>
      </c>
      <c r="E37" s="11">
        <v>27</v>
      </c>
      <c r="F37" s="11" t="s">
        <v>104</v>
      </c>
      <c r="G37" s="11" t="s">
        <v>105</v>
      </c>
      <c r="H37" s="3" t="s">
        <v>350</v>
      </c>
      <c r="I37" s="11" t="s">
        <v>206</v>
      </c>
      <c r="J37" s="3" t="s">
        <v>369</v>
      </c>
      <c r="K37" s="11">
        <v>74</v>
      </c>
      <c r="L37" s="12"/>
    </row>
    <row r="38" spans="1:12" ht="15" customHeight="1" x14ac:dyDescent="0.55000000000000004">
      <c r="A38" s="20" t="s">
        <v>367</v>
      </c>
      <c r="B38" s="20">
        <v>15</v>
      </c>
      <c r="C38" s="21" t="s">
        <v>370</v>
      </c>
      <c r="D38" s="21" t="s">
        <v>22</v>
      </c>
      <c r="E38" s="20">
        <v>25</v>
      </c>
      <c r="F38" s="20" t="s">
        <v>104</v>
      </c>
      <c r="G38" s="20" t="s">
        <v>105</v>
      </c>
      <c r="H38" s="21" t="s">
        <v>298</v>
      </c>
      <c r="I38" s="20" t="s">
        <v>107</v>
      </c>
      <c r="J38" s="21" t="s">
        <v>72</v>
      </c>
      <c r="K38" s="20">
        <v>78</v>
      </c>
      <c r="L38" s="22"/>
    </row>
    <row r="39" spans="1:12" ht="23.85" customHeight="1" x14ac:dyDescent="0.55000000000000004">
      <c r="A39" s="16" t="s">
        <v>367</v>
      </c>
      <c r="B39" s="16">
        <v>16</v>
      </c>
      <c r="C39" s="17" t="s">
        <v>371</v>
      </c>
      <c r="D39" s="17" t="s">
        <v>121</v>
      </c>
      <c r="E39" s="16">
        <v>23</v>
      </c>
      <c r="F39" s="16" t="s">
        <v>104</v>
      </c>
      <c r="G39" s="16" t="s">
        <v>105</v>
      </c>
      <c r="H39" s="17" t="s">
        <v>372</v>
      </c>
      <c r="I39" s="16" t="s">
        <v>107</v>
      </c>
      <c r="J39" s="17" t="s">
        <v>72</v>
      </c>
      <c r="K39" s="16">
        <v>78</v>
      </c>
      <c r="L39" s="18" t="s">
        <v>373</v>
      </c>
    </row>
    <row r="40" spans="1:12" ht="15" customHeight="1" x14ac:dyDescent="0.55000000000000004">
      <c r="A40" s="20" t="s">
        <v>367</v>
      </c>
      <c r="B40" s="20">
        <v>28</v>
      </c>
      <c r="C40" s="21" t="s">
        <v>374</v>
      </c>
      <c r="D40" s="21" t="s">
        <v>22</v>
      </c>
      <c r="E40" s="20">
        <v>19</v>
      </c>
      <c r="F40" s="20" t="s">
        <v>104</v>
      </c>
      <c r="G40" s="20" t="s">
        <v>105</v>
      </c>
      <c r="H40" s="21" t="s">
        <v>298</v>
      </c>
      <c r="I40" s="20" t="s">
        <v>107</v>
      </c>
      <c r="J40" s="21" t="s">
        <v>375</v>
      </c>
      <c r="K40" s="20">
        <v>81</v>
      </c>
      <c r="L40" s="22"/>
    </row>
    <row r="41" spans="1:12" ht="15" customHeight="1" x14ac:dyDescent="0.55000000000000004">
      <c r="A41" s="11" t="s">
        <v>376</v>
      </c>
      <c r="B41" s="11">
        <v>41</v>
      </c>
      <c r="C41" s="3" t="s">
        <v>377</v>
      </c>
      <c r="D41" s="3" t="s">
        <v>22</v>
      </c>
      <c r="E41" s="11">
        <v>32</v>
      </c>
      <c r="F41" s="11" t="s">
        <v>104</v>
      </c>
      <c r="G41" s="11" t="s">
        <v>105</v>
      </c>
      <c r="H41" s="3" t="s">
        <v>125</v>
      </c>
      <c r="I41" s="11" t="s">
        <v>107</v>
      </c>
      <c r="J41" s="3" t="s">
        <v>378</v>
      </c>
      <c r="K41" s="11">
        <v>84</v>
      </c>
      <c r="L41" s="12"/>
    </row>
    <row r="42" spans="1:12" ht="15" customHeight="1" x14ac:dyDescent="0.55000000000000004">
      <c r="A42" s="20" t="s">
        <v>376</v>
      </c>
      <c r="B42" s="20">
        <v>48</v>
      </c>
      <c r="C42" s="21" t="s">
        <v>379</v>
      </c>
      <c r="D42" s="21" t="s">
        <v>22</v>
      </c>
      <c r="E42" s="20">
        <v>26</v>
      </c>
      <c r="F42" s="20" t="s">
        <v>104</v>
      </c>
      <c r="G42" s="20" t="s">
        <v>105</v>
      </c>
      <c r="H42" s="21" t="s">
        <v>106</v>
      </c>
      <c r="I42" s="20" t="s">
        <v>206</v>
      </c>
      <c r="J42" s="21" t="s">
        <v>380</v>
      </c>
      <c r="K42" s="20">
        <v>86</v>
      </c>
      <c r="L42" s="22"/>
    </row>
    <row r="43" spans="1:12" ht="15" customHeight="1" x14ac:dyDescent="0.55000000000000004">
      <c r="A43" s="11" t="s">
        <v>376</v>
      </c>
      <c r="B43" s="11">
        <v>52</v>
      </c>
      <c r="C43" s="3" t="s">
        <v>381</v>
      </c>
      <c r="D43" s="3" t="s">
        <v>22</v>
      </c>
      <c r="E43" s="11">
        <v>20</v>
      </c>
      <c r="F43" s="11" t="s">
        <v>104</v>
      </c>
      <c r="G43" s="11" t="s">
        <v>105</v>
      </c>
      <c r="H43" s="3" t="s">
        <v>106</v>
      </c>
      <c r="I43" s="11" t="s">
        <v>107</v>
      </c>
      <c r="J43" s="3" t="s">
        <v>382</v>
      </c>
      <c r="K43" s="11">
        <v>87</v>
      </c>
      <c r="L43" s="12"/>
    </row>
    <row r="44" spans="1:12" ht="15" customHeight="1" x14ac:dyDescent="0.55000000000000004">
      <c r="A44" s="20" t="s">
        <v>376</v>
      </c>
      <c r="B44" s="20">
        <v>56</v>
      </c>
      <c r="C44" s="21" t="s">
        <v>383</v>
      </c>
      <c r="D44" s="21" t="s">
        <v>22</v>
      </c>
      <c r="E44" s="20">
        <v>23</v>
      </c>
      <c r="F44" s="20" t="s">
        <v>104</v>
      </c>
      <c r="G44" s="20" t="s">
        <v>105</v>
      </c>
      <c r="H44" s="21" t="s">
        <v>298</v>
      </c>
      <c r="I44" s="20" t="s">
        <v>107</v>
      </c>
      <c r="J44" s="21" t="s">
        <v>75</v>
      </c>
      <c r="K44" s="20">
        <v>88</v>
      </c>
      <c r="L44" s="22"/>
    </row>
    <row r="45" spans="1:12" ht="15" customHeight="1" x14ac:dyDescent="0.55000000000000004">
      <c r="A45" s="16" t="s">
        <v>376</v>
      </c>
      <c r="B45" s="16">
        <v>63</v>
      </c>
      <c r="C45" s="17" t="s">
        <v>384</v>
      </c>
      <c r="D45" s="17" t="s">
        <v>22</v>
      </c>
      <c r="E45" s="16">
        <v>32</v>
      </c>
      <c r="F45" s="16" t="s">
        <v>104</v>
      </c>
      <c r="G45" s="16" t="s">
        <v>202</v>
      </c>
      <c r="H45" s="17" t="s">
        <v>385</v>
      </c>
      <c r="I45" s="16" t="s">
        <v>206</v>
      </c>
      <c r="J45" s="17" t="s">
        <v>386</v>
      </c>
      <c r="K45" s="16">
        <v>90</v>
      </c>
      <c r="L45" s="18" t="s">
        <v>178</v>
      </c>
    </row>
    <row r="46" spans="1:12" ht="15" customHeight="1" x14ac:dyDescent="0.55000000000000004">
      <c r="A46" s="20" t="s">
        <v>376</v>
      </c>
      <c r="B46" s="20">
        <v>67</v>
      </c>
      <c r="C46" s="21" t="s">
        <v>387</v>
      </c>
      <c r="D46" s="21" t="s">
        <v>22</v>
      </c>
      <c r="E46" s="20">
        <v>33</v>
      </c>
      <c r="F46" s="20" t="s">
        <v>104</v>
      </c>
      <c r="G46" s="20" t="s">
        <v>202</v>
      </c>
      <c r="H46" s="21" t="s">
        <v>388</v>
      </c>
      <c r="I46" s="20" t="s">
        <v>206</v>
      </c>
      <c r="J46" s="21" t="s">
        <v>389</v>
      </c>
      <c r="K46" s="20">
        <v>91</v>
      </c>
      <c r="L46" s="22"/>
    </row>
    <row r="47" spans="1:12" ht="15" customHeight="1" x14ac:dyDescent="0.55000000000000004">
      <c r="A47" s="16" t="s">
        <v>376</v>
      </c>
      <c r="B47" s="16">
        <v>80</v>
      </c>
      <c r="C47" s="17" t="s">
        <v>390</v>
      </c>
      <c r="D47" s="17" t="s">
        <v>22</v>
      </c>
      <c r="E47" s="16">
        <v>29</v>
      </c>
      <c r="F47" s="16" t="s">
        <v>104</v>
      </c>
      <c r="G47" s="16" t="s">
        <v>182</v>
      </c>
      <c r="H47" s="17" t="s">
        <v>350</v>
      </c>
      <c r="I47" s="16" t="s">
        <v>206</v>
      </c>
      <c r="J47" s="17" t="s">
        <v>391</v>
      </c>
      <c r="K47" s="16">
        <v>95</v>
      </c>
      <c r="L47" s="18" t="s">
        <v>392</v>
      </c>
    </row>
    <row r="48" spans="1:12" ht="15" customHeight="1" x14ac:dyDescent="0.55000000000000004">
      <c r="A48" s="20" t="s">
        <v>393</v>
      </c>
      <c r="B48" s="20">
        <v>16</v>
      </c>
      <c r="C48" s="21" t="s">
        <v>394</v>
      </c>
      <c r="D48" s="21" t="s">
        <v>121</v>
      </c>
      <c r="E48" s="20">
        <v>56</v>
      </c>
      <c r="F48" s="20" t="s">
        <v>104</v>
      </c>
      <c r="G48" s="20" t="s">
        <v>182</v>
      </c>
      <c r="H48" s="21" t="s">
        <v>395</v>
      </c>
      <c r="I48" s="20" t="s">
        <v>107</v>
      </c>
      <c r="J48" s="21" t="s">
        <v>78</v>
      </c>
      <c r="K48" s="20">
        <v>100</v>
      </c>
      <c r="L48" s="22"/>
    </row>
    <row r="49" spans="1:12" ht="15" customHeight="1" x14ac:dyDescent="0.55000000000000004">
      <c r="A49" s="11" t="s">
        <v>393</v>
      </c>
      <c r="B49" s="11">
        <v>17</v>
      </c>
      <c r="C49" s="3" t="s">
        <v>396</v>
      </c>
      <c r="D49" s="3" t="s">
        <v>22</v>
      </c>
      <c r="E49" s="11">
        <v>38</v>
      </c>
      <c r="F49" s="11" t="s">
        <v>104</v>
      </c>
      <c r="G49" s="11" t="s">
        <v>182</v>
      </c>
      <c r="H49" s="3" t="s">
        <v>256</v>
      </c>
      <c r="I49" s="11" t="s">
        <v>206</v>
      </c>
      <c r="J49" s="3" t="s">
        <v>78</v>
      </c>
      <c r="K49" s="11">
        <v>100</v>
      </c>
      <c r="L49" s="12"/>
    </row>
    <row r="50" spans="1:12" ht="15" customHeight="1" x14ac:dyDescent="0.55000000000000004">
      <c r="A50" s="16" t="s">
        <v>393</v>
      </c>
      <c r="B50" s="16">
        <v>25</v>
      </c>
      <c r="C50" s="17" t="s">
        <v>397</v>
      </c>
      <c r="D50" s="17" t="s">
        <v>22</v>
      </c>
      <c r="E50" s="16">
        <v>21</v>
      </c>
      <c r="F50" s="16" t="s">
        <v>104</v>
      </c>
      <c r="G50" s="16" t="s">
        <v>105</v>
      </c>
      <c r="H50" s="17" t="s">
        <v>106</v>
      </c>
      <c r="I50" s="16" t="s">
        <v>107</v>
      </c>
      <c r="J50" s="17" t="s">
        <v>398</v>
      </c>
      <c r="K50" s="16">
        <v>102</v>
      </c>
      <c r="L50" s="18" t="s">
        <v>133</v>
      </c>
    </row>
    <row r="51" spans="1:12" ht="15" customHeight="1" x14ac:dyDescent="0.55000000000000004">
      <c r="A51" s="11" t="s">
        <v>393</v>
      </c>
      <c r="B51" s="11">
        <v>30</v>
      </c>
      <c r="C51" s="3" t="s">
        <v>399</v>
      </c>
      <c r="D51" s="3" t="s">
        <v>22</v>
      </c>
      <c r="E51" s="11">
        <v>30</v>
      </c>
      <c r="F51" s="11" t="s">
        <v>104</v>
      </c>
      <c r="G51" s="11" t="s">
        <v>105</v>
      </c>
      <c r="H51" s="3" t="s">
        <v>298</v>
      </c>
      <c r="I51" s="11" t="s">
        <v>107</v>
      </c>
      <c r="J51" s="3" t="s">
        <v>400</v>
      </c>
      <c r="K51" s="11">
        <v>103</v>
      </c>
      <c r="L51" s="12"/>
    </row>
    <row r="52" spans="1:12" ht="15" customHeight="1" x14ac:dyDescent="0.55000000000000004">
      <c r="A52" s="20" t="s">
        <v>393</v>
      </c>
      <c r="B52" s="20">
        <v>35</v>
      </c>
      <c r="C52" s="21" t="s">
        <v>401</v>
      </c>
      <c r="D52" s="21" t="s">
        <v>22</v>
      </c>
      <c r="E52" s="20">
        <v>23</v>
      </c>
      <c r="F52" s="20" t="s">
        <v>104</v>
      </c>
      <c r="G52" s="20" t="s">
        <v>105</v>
      </c>
      <c r="H52" s="21" t="s">
        <v>402</v>
      </c>
      <c r="I52" s="20" t="s">
        <v>107</v>
      </c>
      <c r="J52" s="21" t="s">
        <v>403</v>
      </c>
      <c r="K52" s="20">
        <v>104</v>
      </c>
      <c r="L52" s="22"/>
    </row>
    <row r="53" spans="1:12" ht="15" customHeight="1" x14ac:dyDescent="0.55000000000000004">
      <c r="A53" s="11" t="s">
        <v>404</v>
      </c>
      <c r="B53" s="11">
        <v>41</v>
      </c>
      <c r="C53" s="3" t="s">
        <v>405</v>
      </c>
      <c r="D53" s="3" t="s">
        <v>22</v>
      </c>
      <c r="E53" s="11">
        <v>30</v>
      </c>
      <c r="F53" s="11" t="s">
        <v>104</v>
      </c>
      <c r="G53" s="11" t="s">
        <v>105</v>
      </c>
      <c r="H53" s="3" t="s">
        <v>110</v>
      </c>
      <c r="I53" s="11" t="s">
        <v>107</v>
      </c>
      <c r="J53" s="3" t="s">
        <v>406</v>
      </c>
      <c r="K53" s="11">
        <v>106</v>
      </c>
      <c r="L53" s="12"/>
    </row>
    <row r="54" spans="1:12" ht="15" customHeight="1" x14ac:dyDescent="0.55000000000000004">
      <c r="A54" s="20" t="s">
        <v>404</v>
      </c>
      <c r="B54" s="20">
        <v>48</v>
      </c>
      <c r="C54" s="21" t="s">
        <v>407</v>
      </c>
      <c r="D54" s="21" t="s">
        <v>22</v>
      </c>
      <c r="E54" s="20">
        <v>30</v>
      </c>
      <c r="F54" s="20" t="s">
        <v>104</v>
      </c>
      <c r="G54" s="20" t="s">
        <v>105</v>
      </c>
      <c r="H54" s="21" t="s">
        <v>143</v>
      </c>
      <c r="I54" s="20" t="s">
        <v>107</v>
      </c>
      <c r="J54" s="21" t="s">
        <v>408</v>
      </c>
      <c r="K54" s="20">
        <v>108</v>
      </c>
      <c r="L54" s="22"/>
    </row>
    <row r="55" spans="1:12" ht="15" customHeight="1" x14ac:dyDescent="0.55000000000000004">
      <c r="A55" s="11" t="s">
        <v>404</v>
      </c>
      <c r="B55" s="11">
        <v>53</v>
      </c>
      <c r="C55" s="3" t="s">
        <v>409</v>
      </c>
      <c r="D55" s="3" t="s">
        <v>22</v>
      </c>
      <c r="E55" s="11">
        <v>25</v>
      </c>
      <c r="F55" s="11" t="s">
        <v>104</v>
      </c>
      <c r="G55" s="11" t="s">
        <v>105</v>
      </c>
      <c r="H55" s="3" t="s">
        <v>410</v>
      </c>
      <c r="I55" s="11" t="s">
        <v>107</v>
      </c>
      <c r="J55" s="3" t="s">
        <v>411</v>
      </c>
      <c r="K55" s="11">
        <v>109</v>
      </c>
      <c r="L55" s="12"/>
    </row>
    <row r="56" spans="1:12" ht="15" customHeight="1" x14ac:dyDescent="0.55000000000000004">
      <c r="A56" s="20" t="s">
        <v>404</v>
      </c>
      <c r="B56" s="20">
        <v>60</v>
      </c>
      <c r="C56" s="21" t="s">
        <v>412</v>
      </c>
      <c r="D56" s="21" t="s">
        <v>22</v>
      </c>
      <c r="E56" s="20">
        <v>23</v>
      </c>
      <c r="F56" s="20" t="s">
        <v>104</v>
      </c>
      <c r="G56" s="20" t="s">
        <v>105</v>
      </c>
      <c r="H56" s="21" t="s">
        <v>350</v>
      </c>
      <c r="I56" s="20" t="s">
        <v>206</v>
      </c>
      <c r="J56" s="21" t="s">
        <v>413</v>
      </c>
      <c r="K56" s="20">
        <v>110</v>
      </c>
      <c r="L56" s="22"/>
    </row>
    <row r="57" spans="1:12" ht="15" customHeight="1" x14ac:dyDescent="0.55000000000000004">
      <c r="A57" s="11" t="s">
        <v>404</v>
      </c>
      <c r="B57" s="11">
        <v>68</v>
      </c>
      <c r="C57" s="3" t="s">
        <v>414</v>
      </c>
      <c r="D57" s="3" t="s">
        <v>22</v>
      </c>
      <c r="E57" s="11">
        <v>23</v>
      </c>
      <c r="F57" s="11" t="s">
        <v>104</v>
      </c>
      <c r="G57" s="11" t="s">
        <v>105</v>
      </c>
      <c r="H57" s="3" t="s">
        <v>402</v>
      </c>
      <c r="I57" s="11" t="s">
        <v>107</v>
      </c>
      <c r="J57" s="3" t="s">
        <v>415</v>
      </c>
      <c r="K57" s="11">
        <v>112</v>
      </c>
      <c r="L57" s="12"/>
    </row>
    <row r="58" spans="1:12" ht="15" customHeight="1" x14ac:dyDescent="0.55000000000000004">
      <c r="A58" s="16" t="s">
        <v>404</v>
      </c>
      <c r="B58" s="16">
        <v>74</v>
      </c>
      <c r="C58" s="17" t="s">
        <v>416</v>
      </c>
      <c r="D58" s="17" t="s">
        <v>151</v>
      </c>
      <c r="E58" s="16">
        <v>45</v>
      </c>
      <c r="F58" s="16" t="s">
        <v>104</v>
      </c>
      <c r="G58" s="16" t="s">
        <v>105</v>
      </c>
      <c r="H58" s="17" t="s">
        <v>350</v>
      </c>
      <c r="I58" s="16" t="s">
        <v>206</v>
      </c>
      <c r="J58" s="17" t="s">
        <v>417</v>
      </c>
      <c r="K58" s="16">
        <v>113</v>
      </c>
      <c r="L58" s="18" t="s">
        <v>154</v>
      </c>
    </row>
    <row r="59" spans="1:12" ht="15" customHeight="1" x14ac:dyDescent="0.55000000000000004">
      <c r="A59" s="11" t="s">
        <v>404</v>
      </c>
      <c r="B59" s="11">
        <v>80</v>
      </c>
      <c r="C59" s="3" t="s">
        <v>418</v>
      </c>
      <c r="D59" s="3" t="s">
        <v>22</v>
      </c>
      <c r="E59" s="11">
        <v>29</v>
      </c>
      <c r="F59" s="11" t="s">
        <v>104</v>
      </c>
      <c r="G59" s="11" t="s">
        <v>105</v>
      </c>
      <c r="H59" s="3" t="s">
        <v>419</v>
      </c>
      <c r="I59" s="11" t="s">
        <v>206</v>
      </c>
      <c r="J59" s="3" t="s">
        <v>420</v>
      </c>
      <c r="K59" s="11">
        <v>114</v>
      </c>
      <c r="L59" s="12"/>
    </row>
    <row r="60" spans="1:12" ht="15" customHeight="1" x14ac:dyDescent="0.55000000000000004">
      <c r="A60" s="20" t="s">
        <v>421</v>
      </c>
      <c r="B60" s="20">
        <v>13</v>
      </c>
      <c r="C60" s="21" t="s">
        <v>422</v>
      </c>
      <c r="D60" s="21" t="s">
        <v>22</v>
      </c>
      <c r="E60" s="20">
        <v>35</v>
      </c>
      <c r="F60" s="20" t="s">
        <v>104</v>
      </c>
      <c r="G60" s="20" t="s">
        <v>105</v>
      </c>
      <c r="H60" s="21" t="s">
        <v>116</v>
      </c>
      <c r="I60" s="20" t="s">
        <v>107</v>
      </c>
      <c r="J60" s="21" t="s">
        <v>423</v>
      </c>
      <c r="K60" s="20">
        <v>118</v>
      </c>
      <c r="L60" s="22"/>
    </row>
    <row r="61" spans="1:12" ht="15" customHeight="1" x14ac:dyDescent="0.55000000000000004">
      <c r="A61" s="11" t="s">
        <v>421</v>
      </c>
      <c r="B61" s="11">
        <v>27</v>
      </c>
      <c r="C61" s="3" t="s">
        <v>424</v>
      </c>
      <c r="D61" s="3" t="s">
        <v>22</v>
      </c>
      <c r="E61" s="11">
        <v>21</v>
      </c>
      <c r="F61" s="11" t="s">
        <v>104</v>
      </c>
      <c r="G61" s="11" t="s">
        <v>105</v>
      </c>
      <c r="H61" s="3" t="s">
        <v>425</v>
      </c>
      <c r="I61" s="11" t="s">
        <v>107</v>
      </c>
      <c r="J61" s="3" t="s">
        <v>426</v>
      </c>
      <c r="K61" s="11">
        <v>121</v>
      </c>
      <c r="L61" s="12"/>
    </row>
    <row r="62" spans="1:12" ht="15" customHeight="1" x14ac:dyDescent="0.55000000000000004">
      <c r="A62" s="20" t="s">
        <v>421</v>
      </c>
      <c r="B62" s="20">
        <v>32</v>
      </c>
      <c r="C62" s="21" t="s">
        <v>427</v>
      </c>
      <c r="D62" s="21" t="s">
        <v>22</v>
      </c>
      <c r="E62" s="20">
        <v>24</v>
      </c>
      <c r="F62" s="20" t="s">
        <v>104</v>
      </c>
      <c r="G62" s="20" t="s">
        <v>105</v>
      </c>
      <c r="H62" s="21" t="s">
        <v>342</v>
      </c>
      <c r="I62" s="20" t="s">
        <v>107</v>
      </c>
      <c r="J62" s="21" t="s">
        <v>428</v>
      </c>
      <c r="K62" s="20">
        <v>122</v>
      </c>
      <c r="L62" s="22"/>
    </row>
    <row r="63" spans="1:12" ht="15" customHeight="1" x14ac:dyDescent="0.55000000000000004">
      <c r="A63" s="11" t="s">
        <v>421</v>
      </c>
      <c r="B63" s="11">
        <v>40</v>
      </c>
      <c r="C63" s="3" t="s">
        <v>429</v>
      </c>
      <c r="D63" s="3" t="s">
        <v>430</v>
      </c>
      <c r="E63" s="11">
        <v>40</v>
      </c>
      <c r="F63" s="11" t="s">
        <v>293</v>
      </c>
      <c r="G63" s="11" t="s">
        <v>202</v>
      </c>
      <c r="H63" s="3" t="s">
        <v>110</v>
      </c>
      <c r="I63" s="11" t="s">
        <v>107</v>
      </c>
      <c r="J63" s="3" t="s">
        <v>80</v>
      </c>
      <c r="K63" s="11">
        <v>124</v>
      </c>
      <c r="L63" s="12"/>
    </row>
    <row r="64" spans="1:12" ht="23.85" customHeight="1" x14ac:dyDescent="0.55000000000000004">
      <c r="A64" s="16" t="s">
        <v>431</v>
      </c>
      <c r="B64" s="16">
        <v>41</v>
      </c>
      <c r="C64" s="17" t="s">
        <v>432</v>
      </c>
      <c r="D64" s="17" t="s">
        <v>151</v>
      </c>
      <c r="E64" s="16">
        <v>39</v>
      </c>
      <c r="F64" s="16" t="s">
        <v>104</v>
      </c>
      <c r="G64" s="16" t="s">
        <v>202</v>
      </c>
      <c r="H64" s="17" t="s">
        <v>110</v>
      </c>
      <c r="I64" s="16" t="s">
        <v>107</v>
      </c>
      <c r="J64" s="17" t="s">
        <v>433</v>
      </c>
      <c r="K64" s="16">
        <v>124</v>
      </c>
      <c r="L64" s="18" t="s">
        <v>434</v>
      </c>
    </row>
    <row r="65" spans="1:12" ht="15" customHeight="1" x14ac:dyDescent="0.55000000000000004">
      <c r="A65" s="11" t="s">
        <v>431</v>
      </c>
      <c r="B65" s="11">
        <v>50</v>
      </c>
      <c r="C65" s="3" t="s">
        <v>435</v>
      </c>
      <c r="D65" s="3" t="s">
        <v>22</v>
      </c>
      <c r="E65" s="11">
        <v>23</v>
      </c>
      <c r="F65" s="11" t="s">
        <v>104</v>
      </c>
      <c r="G65" s="11" t="s">
        <v>105</v>
      </c>
      <c r="H65" s="3" t="s">
        <v>106</v>
      </c>
      <c r="I65" s="11" t="s">
        <v>107</v>
      </c>
      <c r="J65" s="3" t="s">
        <v>436</v>
      </c>
      <c r="K65" s="11">
        <v>126</v>
      </c>
      <c r="L65" s="12"/>
    </row>
    <row r="66" spans="1:12" ht="15" customHeight="1" x14ac:dyDescent="0.55000000000000004">
      <c r="A66" s="20" t="s">
        <v>431</v>
      </c>
      <c r="B66" s="20">
        <v>55</v>
      </c>
      <c r="C66" s="21" t="s">
        <v>437</v>
      </c>
      <c r="D66" s="21" t="s">
        <v>22</v>
      </c>
      <c r="E66" s="20">
        <v>42</v>
      </c>
      <c r="F66" s="20" t="s">
        <v>104</v>
      </c>
      <c r="G66" s="20" t="s">
        <v>182</v>
      </c>
      <c r="H66" s="21" t="s">
        <v>345</v>
      </c>
      <c r="I66" s="20" t="s">
        <v>107</v>
      </c>
      <c r="J66" s="21" t="s">
        <v>438</v>
      </c>
      <c r="K66" s="20">
        <v>127</v>
      </c>
      <c r="L66" s="22"/>
    </row>
    <row r="67" spans="1:12" ht="15" customHeight="1" x14ac:dyDescent="0.55000000000000004">
      <c r="A67" s="16" t="s">
        <v>431</v>
      </c>
      <c r="B67" s="16">
        <v>59</v>
      </c>
      <c r="C67" s="17" t="s">
        <v>439</v>
      </c>
      <c r="D67" s="17" t="s">
        <v>22</v>
      </c>
      <c r="E67" s="16">
        <v>28</v>
      </c>
      <c r="F67" s="16" t="s">
        <v>104</v>
      </c>
      <c r="G67" s="16" t="s">
        <v>105</v>
      </c>
      <c r="H67" s="17" t="s">
        <v>440</v>
      </c>
      <c r="I67" s="16" t="s">
        <v>107</v>
      </c>
      <c r="J67" s="17" t="s">
        <v>441</v>
      </c>
      <c r="K67" s="16">
        <v>128</v>
      </c>
      <c r="L67" s="18" t="s">
        <v>133</v>
      </c>
    </row>
    <row r="68" spans="1:12" ht="15" customHeight="1" x14ac:dyDescent="0.55000000000000004">
      <c r="A68" s="20" t="s">
        <v>431</v>
      </c>
      <c r="B68" s="20">
        <v>66</v>
      </c>
      <c r="C68" s="21" t="s">
        <v>442</v>
      </c>
      <c r="D68" s="21" t="s">
        <v>22</v>
      </c>
      <c r="E68" s="20">
        <v>24</v>
      </c>
      <c r="F68" s="20" t="s">
        <v>104</v>
      </c>
      <c r="G68" s="20" t="s">
        <v>105</v>
      </c>
      <c r="H68" s="21" t="s">
        <v>443</v>
      </c>
      <c r="I68" s="20" t="s">
        <v>107</v>
      </c>
      <c r="J68" s="21" t="s">
        <v>444</v>
      </c>
      <c r="K68" s="20">
        <v>130</v>
      </c>
      <c r="L68" s="22"/>
    </row>
    <row r="69" spans="1:12" ht="15" customHeight="1" x14ac:dyDescent="0.55000000000000004">
      <c r="A69" s="16" t="s">
        <v>431</v>
      </c>
      <c r="B69" s="16">
        <v>74</v>
      </c>
      <c r="C69" s="17" t="s">
        <v>445</v>
      </c>
      <c r="D69" s="17" t="s">
        <v>22</v>
      </c>
      <c r="E69" s="16">
        <v>31</v>
      </c>
      <c r="F69" s="16" t="s">
        <v>104</v>
      </c>
      <c r="G69" s="16" t="s">
        <v>105</v>
      </c>
      <c r="H69" s="17" t="s">
        <v>342</v>
      </c>
      <c r="I69" s="16" t="s">
        <v>107</v>
      </c>
      <c r="J69" s="17" t="s">
        <v>446</v>
      </c>
      <c r="K69" s="16">
        <v>132</v>
      </c>
      <c r="L69" s="18" t="s">
        <v>57</v>
      </c>
    </row>
    <row r="70" spans="1:12" ht="15" customHeight="1" x14ac:dyDescent="0.55000000000000004">
      <c r="A70" s="20" t="s">
        <v>431</v>
      </c>
      <c r="B70" s="20">
        <v>79</v>
      </c>
      <c r="C70" s="21" t="s">
        <v>447</v>
      </c>
      <c r="D70" s="21" t="s">
        <v>121</v>
      </c>
      <c r="E70" s="20">
        <v>23</v>
      </c>
      <c r="F70" s="20" t="s">
        <v>104</v>
      </c>
      <c r="G70" s="20" t="s">
        <v>105</v>
      </c>
      <c r="H70" s="21" t="s">
        <v>448</v>
      </c>
      <c r="I70" s="20" t="s">
        <v>107</v>
      </c>
      <c r="J70" s="21" t="s">
        <v>449</v>
      </c>
      <c r="K70" s="20">
        <v>133</v>
      </c>
      <c r="L70" s="22"/>
    </row>
    <row r="71" spans="1:12" ht="15" customHeight="1" x14ac:dyDescent="0.55000000000000004">
      <c r="A71" s="11" t="s">
        <v>450</v>
      </c>
      <c r="B71" s="11">
        <v>7</v>
      </c>
      <c r="C71" s="3" t="s">
        <v>451</v>
      </c>
      <c r="D71" s="3" t="s">
        <v>22</v>
      </c>
      <c r="E71" s="11">
        <v>42</v>
      </c>
      <c r="F71" s="11" t="s">
        <v>104</v>
      </c>
      <c r="G71" s="11" t="s">
        <v>105</v>
      </c>
      <c r="H71" s="3" t="s">
        <v>106</v>
      </c>
      <c r="I71" s="11" t="s">
        <v>107</v>
      </c>
      <c r="J71" s="3" t="s">
        <v>452</v>
      </c>
      <c r="K71" s="11">
        <v>135</v>
      </c>
      <c r="L71" s="12"/>
    </row>
    <row r="72" spans="1:12" ht="15" customHeight="1" x14ac:dyDescent="0.55000000000000004">
      <c r="A72" s="16" t="s">
        <v>450</v>
      </c>
      <c r="B72" s="16">
        <v>12</v>
      </c>
      <c r="C72" s="17" t="s">
        <v>453</v>
      </c>
      <c r="D72" s="17" t="s">
        <v>22</v>
      </c>
      <c r="E72" s="16">
        <v>27</v>
      </c>
      <c r="F72" s="16" t="s">
        <v>104</v>
      </c>
      <c r="G72" s="16" t="s">
        <v>105</v>
      </c>
      <c r="H72" s="17" t="s">
        <v>454</v>
      </c>
      <c r="I72" s="16" t="s">
        <v>107</v>
      </c>
      <c r="J72" s="17" t="s">
        <v>455</v>
      </c>
      <c r="K72" s="16">
        <v>136</v>
      </c>
      <c r="L72" s="18" t="s">
        <v>133</v>
      </c>
    </row>
    <row r="73" spans="1:12" ht="15" customHeight="1" x14ac:dyDescent="0.55000000000000004">
      <c r="A73" s="11" t="s">
        <v>450</v>
      </c>
      <c r="B73" s="11">
        <v>19</v>
      </c>
      <c r="C73" s="3" t="s">
        <v>456</v>
      </c>
      <c r="D73" s="3" t="s">
        <v>22</v>
      </c>
      <c r="E73" s="11">
        <v>26</v>
      </c>
      <c r="F73" s="11" t="s">
        <v>104</v>
      </c>
      <c r="G73" s="11" t="s">
        <v>105</v>
      </c>
      <c r="H73" s="3" t="s">
        <v>457</v>
      </c>
      <c r="I73" s="11" t="s">
        <v>107</v>
      </c>
      <c r="J73" s="3" t="s">
        <v>458</v>
      </c>
      <c r="K73" s="11">
        <v>137</v>
      </c>
      <c r="L73" s="12"/>
    </row>
    <row r="74" spans="1:12" ht="15" customHeight="1" x14ac:dyDescent="0.55000000000000004">
      <c r="A74" s="20" t="s">
        <v>450</v>
      </c>
      <c r="B74" s="20">
        <v>23</v>
      </c>
      <c r="C74" s="21" t="s">
        <v>459</v>
      </c>
      <c r="D74" s="21" t="s">
        <v>22</v>
      </c>
      <c r="E74" s="20">
        <v>45</v>
      </c>
      <c r="F74" s="20" t="s">
        <v>104</v>
      </c>
      <c r="G74" s="20" t="s">
        <v>105</v>
      </c>
      <c r="H74" s="21" t="s">
        <v>350</v>
      </c>
      <c r="I74" s="20" t="s">
        <v>206</v>
      </c>
      <c r="J74" s="21" t="s">
        <v>460</v>
      </c>
      <c r="K74" s="20">
        <v>138</v>
      </c>
      <c r="L74" s="22"/>
    </row>
    <row r="75" spans="1:12" ht="15" customHeight="1" x14ac:dyDescent="0.55000000000000004">
      <c r="A75" s="16" t="s">
        <v>450</v>
      </c>
      <c r="B75" s="16">
        <v>27</v>
      </c>
      <c r="C75" s="17" t="s">
        <v>461</v>
      </c>
      <c r="D75" s="17" t="s">
        <v>22</v>
      </c>
      <c r="E75" s="16">
        <v>30</v>
      </c>
      <c r="F75" s="16" t="s">
        <v>104</v>
      </c>
      <c r="G75" s="16" t="s">
        <v>105</v>
      </c>
      <c r="H75" s="17" t="s">
        <v>462</v>
      </c>
      <c r="I75" s="16" t="s">
        <v>107</v>
      </c>
      <c r="J75" s="17" t="s">
        <v>463</v>
      </c>
      <c r="K75" s="16">
        <v>139</v>
      </c>
      <c r="L75" s="18" t="s">
        <v>178</v>
      </c>
    </row>
    <row r="76" spans="1:12" ht="15" customHeight="1" x14ac:dyDescent="0.55000000000000004">
      <c r="A76" s="20" t="s">
        <v>464</v>
      </c>
      <c r="B76" s="20">
        <v>48</v>
      </c>
      <c r="C76" s="21" t="s">
        <v>465</v>
      </c>
      <c r="D76" s="21" t="s">
        <v>22</v>
      </c>
      <c r="E76" s="20">
        <v>35</v>
      </c>
      <c r="F76" s="20" t="s">
        <v>104</v>
      </c>
      <c r="G76" s="20" t="s">
        <v>105</v>
      </c>
      <c r="H76" s="21" t="s">
        <v>110</v>
      </c>
      <c r="I76" s="20" t="s">
        <v>107</v>
      </c>
      <c r="J76" s="21" t="s">
        <v>466</v>
      </c>
      <c r="K76" s="20">
        <v>146</v>
      </c>
      <c r="L76" s="22"/>
    </row>
    <row r="77" spans="1:12" ht="15" customHeight="1" x14ac:dyDescent="0.55000000000000004">
      <c r="A77" s="16" t="s">
        <v>464</v>
      </c>
      <c r="B77" s="16">
        <v>73</v>
      </c>
      <c r="C77" s="17" t="s">
        <v>467</v>
      </c>
      <c r="D77" s="17" t="s">
        <v>22</v>
      </c>
      <c r="E77" s="16">
        <v>40</v>
      </c>
      <c r="F77" s="16" t="s">
        <v>104</v>
      </c>
      <c r="G77" s="16" t="s">
        <v>105</v>
      </c>
      <c r="H77" s="17" t="s">
        <v>143</v>
      </c>
      <c r="I77" s="16" t="s">
        <v>107</v>
      </c>
      <c r="J77" s="17" t="s">
        <v>188</v>
      </c>
      <c r="K77" s="16">
        <v>155</v>
      </c>
      <c r="L77" s="18" t="s">
        <v>468</v>
      </c>
    </row>
    <row r="78" spans="1:12" ht="15" customHeight="1" x14ac:dyDescent="0.55000000000000004">
      <c r="A78" s="20" t="s">
        <v>469</v>
      </c>
      <c r="B78" s="20">
        <v>3</v>
      </c>
      <c r="C78" s="21" t="s">
        <v>470</v>
      </c>
      <c r="D78" s="21" t="s">
        <v>22</v>
      </c>
      <c r="E78" s="20">
        <v>49</v>
      </c>
      <c r="F78" s="20" t="s">
        <v>104</v>
      </c>
      <c r="G78" s="20" t="s">
        <v>182</v>
      </c>
      <c r="H78" s="21" t="s">
        <v>471</v>
      </c>
      <c r="I78" s="20" t="s">
        <v>107</v>
      </c>
      <c r="J78" s="21" t="s">
        <v>472</v>
      </c>
      <c r="K78" s="20">
        <v>159</v>
      </c>
      <c r="L78" s="22"/>
    </row>
    <row r="79" spans="1:12" ht="15" customHeight="1" x14ac:dyDescent="0.55000000000000004">
      <c r="A79" s="16" t="s">
        <v>469</v>
      </c>
      <c r="B79" s="16">
        <v>22</v>
      </c>
      <c r="C79" s="17" t="s">
        <v>473</v>
      </c>
      <c r="D79" s="17" t="s">
        <v>22</v>
      </c>
      <c r="E79" s="16">
        <v>31</v>
      </c>
      <c r="F79" s="16" t="s">
        <v>104</v>
      </c>
      <c r="G79" s="16" t="s">
        <v>474</v>
      </c>
      <c r="H79" s="17" t="s">
        <v>475</v>
      </c>
      <c r="I79" s="16" t="s">
        <v>206</v>
      </c>
      <c r="J79" s="17" t="s">
        <v>476</v>
      </c>
      <c r="K79" s="16">
        <v>161</v>
      </c>
      <c r="L79" s="18" t="s">
        <v>133</v>
      </c>
    </row>
    <row r="80" spans="1:12" ht="35.049999999999997" customHeight="1" x14ac:dyDescent="0.55000000000000004">
      <c r="A80" s="16" t="s">
        <v>469</v>
      </c>
      <c r="B80" s="16">
        <v>25</v>
      </c>
      <c r="C80" s="17" t="s">
        <v>477</v>
      </c>
      <c r="D80" s="17" t="s">
        <v>121</v>
      </c>
      <c r="E80" s="16">
        <v>24</v>
      </c>
      <c r="F80" s="16" t="s">
        <v>104</v>
      </c>
      <c r="G80" s="16" t="s">
        <v>105</v>
      </c>
      <c r="H80" s="17" t="s">
        <v>106</v>
      </c>
      <c r="I80" s="16" t="s">
        <v>107</v>
      </c>
      <c r="J80" s="17" t="s">
        <v>478</v>
      </c>
      <c r="K80" s="16">
        <v>162</v>
      </c>
      <c r="L80" s="18" t="s">
        <v>479</v>
      </c>
    </row>
    <row r="81" spans="1:12" ht="15" customHeight="1" x14ac:dyDescent="0.55000000000000004">
      <c r="A81" s="11" t="s">
        <v>469</v>
      </c>
      <c r="B81" s="11">
        <v>31</v>
      </c>
      <c r="C81" s="3" t="s">
        <v>480</v>
      </c>
      <c r="D81" s="3" t="s">
        <v>22</v>
      </c>
      <c r="E81" s="11">
        <v>35</v>
      </c>
      <c r="F81" s="11" t="s">
        <v>104</v>
      </c>
      <c r="G81" s="11" t="s">
        <v>105</v>
      </c>
      <c r="H81" s="3" t="s">
        <v>350</v>
      </c>
      <c r="I81" s="11" t="s">
        <v>206</v>
      </c>
      <c r="J81" s="3" t="s">
        <v>481</v>
      </c>
      <c r="K81" s="11">
        <v>163</v>
      </c>
      <c r="L81" s="12"/>
    </row>
    <row r="82" spans="1:12" ht="15" customHeight="1" x14ac:dyDescent="0.55000000000000004">
      <c r="A82" s="16" t="s">
        <v>482</v>
      </c>
      <c r="B82" s="16">
        <v>49</v>
      </c>
      <c r="C82" s="17" t="s">
        <v>483</v>
      </c>
      <c r="D82" s="17" t="s">
        <v>22</v>
      </c>
      <c r="E82" s="16">
        <v>24</v>
      </c>
      <c r="F82" s="16" t="s">
        <v>104</v>
      </c>
      <c r="G82" s="16" t="s">
        <v>474</v>
      </c>
      <c r="H82" s="17" t="s">
        <v>484</v>
      </c>
      <c r="I82" s="16" t="s">
        <v>107</v>
      </c>
      <c r="J82" s="17" t="s">
        <v>485</v>
      </c>
      <c r="K82" s="16">
        <v>169</v>
      </c>
      <c r="L82" s="18" t="s">
        <v>154</v>
      </c>
    </row>
    <row r="83" spans="1:12" ht="15" customHeight="1" x14ac:dyDescent="0.55000000000000004">
      <c r="A83" s="11" t="s">
        <v>482</v>
      </c>
      <c r="B83" s="11">
        <v>58</v>
      </c>
      <c r="C83" s="3" t="s">
        <v>486</v>
      </c>
      <c r="D83" s="3" t="s">
        <v>22</v>
      </c>
      <c r="E83" s="11">
        <v>36</v>
      </c>
      <c r="F83" s="11" t="s">
        <v>104</v>
      </c>
      <c r="G83" s="11" t="s">
        <v>182</v>
      </c>
      <c r="H83" s="3" t="s">
        <v>487</v>
      </c>
      <c r="I83" s="11" t="s">
        <v>206</v>
      </c>
      <c r="J83" s="3" t="s">
        <v>488</v>
      </c>
      <c r="K83" s="11">
        <v>171</v>
      </c>
      <c r="L83" s="12"/>
    </row>
    <row r="84" spans="1:12" ht="23.85" customHeight="1" x14ac:dyDescent="0.55000000000000004">
      <c r="A84" s="16" t="s">
        <v>489</v>
      </c>
      <c r="B84" s="16">
        <v>1</v>
      </c>
      <c r="C84" s="17" t="s">
        <v>490</v>
      </c>
      <c r="D84" s="17" t="s">
        <v>22</v>
      </c>
      <c r="E84" s="16">
        <v>37</v>
      </c>
      <c r="F84" s="16" t="s">
        <v>104</v>
      </c>
      <c r="G84" s="16" t="s">
        <v>182</v>
      </c>
      <c r="H84" s="17" t="s">
        <v>491</v>
      </c>
      <c r="I84" s="16" t="s">
        <v>107</v>
      </c>
      <c r="J84" s="17" t="s">
        <v>492</v>
      </c>
      <c r="K84" s="16">
        <v>4</v>
      </c>
      <c r="L84" s="18" t="s">
        <v>493</v>
      </c>
    </row>
    <row r="85" spans="1:12" ht="15" customHeight="1" x14ac:dyDescent="0.55000000000000004">
      <c r="A85" s="16" t="s">
        <v>489</v>
      </c>
      <c r="B85" s="16">
        <v>3</v>
      </c>
      <c r="C85" s="17" t="s">
        <v>494</v>
      </c>
      <c r="D85" s="17" t="s">
        <v>22</v>
      </c>
      <c r="E85" s="16">
        <v>38</v>
      </c>
      <c r="F85" s="16" t="s">
        <v>104</v>
      </c>
      <c r="G85" s="16" t="s">
        <v>105</v>
      </c>
      <c r="H85" s="17" t="s">
        <v>205</v>
      </c>
      <c r="I85" s="16" t="s">
        <v>206</v>
      </c>
      <c r="J85" s="17" t="s">
        <v>495</v>
      </c>
      <c r="K85" s="16">
        <v>49</v>
      </c>
      <c r="L85" s="18" t="s">
        <v>496</v>
      </c>
    </row>
    <row r="86" spans="1:12" ht="15" customHeight="1" x14ac:dyDescent="0.55000000000000004">
      <c r="A86" s="16" t="s">
        <v>489</v>
      </c>
      <c r="B86" s="16">
        <v>4</v>
      </c>
      <c r="C86" s="17" t="s">
        <v>497</v>
      </c>
      <c r="D86" s="17" t="s">
        <v>22</v>
      </c>
      <c r="E86" s="16">
        <v>35</v>
      </c>
      <c r="F86" s="16" t="s">
        <v>104</v>
      </c>
      <c r="G86" s="16" t="s">
        <v>105</v>
      </c>
      <c r="H86" s="17" t="s">
        <v>410</v>
      </c>
      <c r="I86" s="16" t="s">
        <v>107</v>
      </c>
      <c r="J86" s="17" t="s">
        <v>498</v>
      </c>
      <c r="K86" s="16">
        <v>69</v>
      </c>
      <c r="L86" s="18" t="s">
        <v>499</v>
      </c>
    </row>
    <row r="87" spans="1:12" ht="23.85" customHeight="1" x14ac:dyDescent="0.55000000000000004">
      <c r="A87" s="16" t="s">
        <v>489</v>
      </c>
      <c r="B87" s="16">
        <v>7</v>
      </c>
      <c r="C87" s="17" t="s">
        <v>500</v>
      </c>
      <c r="D87" s="17" t="s">
        <v>22</v>
      </c>
      <c r="E87" s="16">
        <v>25</v>
      </c>
      <c r="F87" s="16" t="s">
        <v>104</v>
      </c>
      <c r="G87" s="16" t="s">
        <v>105</v>
      </c>
      <c r="H87" s="17" t="s">
        <v>110</v>
      </c>
      <c r="I87" s="16" t="s">
        <v>107</v>
      </c>
      <c r="J87" s="17" t="s">
        <v>501</v>
      </c>
      <c r="K87" s="16"/>
      <c r="L87" s="18" t="s">
        <v>502</v>
      </c>
    </row>
    <row r="88" spans="1:12" ht="15" customHeight="1" x14ac:dyDescent="0.55000000000000004">
      <c r="A88" s="16" t="s">
        <v>489</v>
      </c>
      <c r="B88" s="16">
        <v>8</v>
      </c>
      <c r="C88" s="17" t="s">
        <v>503</v>
      </c>
      <c r="D88" s="17" t="s">
        <v>22</v>
      </c>
      <c r="E88" s="16">
        <v>26</v>
      </c>
      <c r="F88" s="16" t="s">
        <v>104</v>
      </c>
      <c r="G88" s="16" t="s">
        <v>105</v>
      </c>
      <c r="H88" s="17" t="s">
        <v>296</v>
      </c>
      <c r="I88" s="16" t="s">
        <v>206</v>
      </c>
      <c r="J88" s="17" t="s">
        <v>504</v>
      </c>
      <c r="K88" s="16">
        <v>72</v>
      </c>
      <c r="L88" s="18" t="s">
        <v>499</v>
      </c>
    </row>
    <row r="89" spans="1:12" ht="15" customHeight="1" x14ac:dyDescent="0.55000000000000004">
      <c r="A89" s="16" t="s">
        <v>489</v>
      </c>
      <c r="B89" s="16">
        <v>9</v>
      </c>
      <c r="C89" s="17" t="s">
        <v>505</v>
      </c>
      <c r="D89" s="17" t="s">
        <v>121</v>
      </c>
      <c r="E89" s="16">
        <v>35</v>
      </c>
      <c r="F89" s="16" t="s">
        <v>104</v>
      </c>
      <c r="G89" s="16" t="s">
        <v>105</v>
      </c>
      <c r="H89" s="17" t="s">
        <v>506</v>
      </c>
      <c r="I89" s="16" t="s">
        <v>107</v>
      </c>
      <c r="J89" s="17" t="s">
        <v>507</v>
      </c>
      <c r="K89" s="16">
        <v>25</v>
      </c>
      <c r="L89" s="18" t="s">
        <v>499</v>
      </c>
    </row>
    <row r="90" spans="1:12" ht="15" customHeight="1" x14ac:dyDescent="0.55000000000000004">
      <c r="A90" s="16" t="s">
        <v>489</v>
      </c>
      <c r="B90" s="16">
        <v>10</v>
      </c>
      <c r="C90" s="17" t="s">
        <v>508</v>
      </c>
      <c r="D90" s="17" t="s">
        <v>22</v>
      </c>
      <c r="E90" s="16">
        <v>21</v>
      </c>
      <c r="F90" s="16" t="s">
        <v>104</v>
      </c>
      <c r="G90" s="16" t="s">
        <v>105</v>
      </c>
      <c r="H90" s="17" t="s">
        <v>509</v>
      </c>
      <c r="I90" s="16" t="s">
        <v>107</v>
      </c>
      <c r="J90" s="17" t="s">
        <v>510</v>
      </c>
      <c r="K90" s="16">
        <v>88</v>
      </c>
      <c r="L90" s="18" t="s">
        <v>511</v>
      </c>
    </row>
    <row r="91" spans="1:12" ht="23.85" customHeight="1" x14ac:dyDescent="0.55000000000000004">
      <c r="A91" s="16" t="s">
        <v>489</v>
      </c>
      <c r="B91" s="16">
        <v>12</v>
      </c>
      <c r="C91" s="17" t="s">
        <v>512</v>
      </c>
      <c r="D91" s="17" t="s">
        <v>22</v>
      </c>
      <c r="E91" s="16">
        <v>22</v>
      </c>
      <c r="F91" s="16" t="s">
        <v>104</v>
      </c>
      <c r="G91" s="16" t="s">
        <v>105</v>
      </c>
      <c r="H91" s="17" t="s">
        <v>513</v>
      </c>
      <c r="I91" s="16" t="s">
        <v>206</v>
      </c>
      <c r="J91" s="17" t="s">
        <v>514</v>
      </c>
      <c r="K91" s="16"/>
      <c r="L91" s="18" t="s">
        <v>502</v>
      </c>
    </row>
    <row r="92" spans="1:12" ht="23.85" customHeight="1" x14ac:dyDescent="0.55000000000000004">
      <c r="A92" s="16" t="s">
        <v>489</v>
      </c>
      <c r="B92" s="16">
        <v>15</v>
      </c>
      <c r="C92" s="17" t="s">
        <v>515</v>
      </c>
      <c r="D92" s="17" t="s">
        <v>22</v>
      </c>
      <c r="E92" s="16">
        <v>25</v>
      </c>
      <c r="F92" s="16" t="s">
        <v>104</v>
      </c>
      <c r="G92" s="16" t="s">
        <v>105</v>
      </c>
      <c r="H92" s="17" t="s">
        <v>516</v>
      </c>
      <c r="I92" s="16" t="s">
        <v>206</v>
      </c>
      <c r="J92" s="17" t="s">
        <v>514</v>
      </c>
      <c r="K92" s="16"/>
      <c r="L92" s="18" t="s">
        <v>502</v>
      </c>
    </row>
    <row r="93" spans="1:12" ht="15" customHeight="1" x14ac:dyDescent="0.55000000000000004">
      <c r="A93" s="16" t="s">
        <v>489</v>
      </c>
      <c r="B93" s="16">
        <v>17</v>
      </c>
      <c r="C93" s="17" t="s">
        <v>517</v>
      </c>
      <c r="D93" s="17" t="s">
        <v>22</v>
      </c>
      <c r="E93" s="16">
        <v>30</v>
      </c>
      <c r="F93" s="16" t="s">
        <v>104</v>
      </c>
      <c r="G93" s="16" t="s">
        <v>105</v>
      </c>
      <c r="H93" s="17" t="s">
        <v>518</v>
      </c>
      <c r="I93" s="16" t="s">
        <v>206</v>
      </c>
      <c r="J93" s="17" t="s">
        <v>519</v>
      </c>
      <c r="K93" s="16">
        <v>165</v>
      </c>
      <c r="L93" s="18" t="s">
        <v>499</v>
      </c>
    </row>
    <row r="94" spans="1:12" ht="15" customHeight="1" x14ac:dyDescent="0.55000000000000004">
      <c r="A94" s="20"/>
      <c r="B94" s="20"/>
      <c r="C94" s="21"/>
      <c r="D94" s="21"/>
      <c r="E94" s="20"/>
      <c r="F94" s="20"/>
      <c r="G94" s="20"/>
      <c r="H94" s="21"/>
      <c r="I94" s="20"/>
      <c r="J94" s="21"/>
      <c r="K94" s="20"/>
      <c r="L94" s="22"/>
    </row>
    <row r="95" spans="1:12" ht="15" customHeight="1" x14ac:dyDescent="0.55000000000000004">
      <c r="A95" s="11" t="s">
        <v>25</v>
      </c>
      <c r="B95" s="11"/>
      <c r="C95" s="3"/>
      <c r="D95" s="3"/>
      <c r="E95" s="11"/>
      <c r="F95" s="11"/>
      <c r="G95" s="11"/>
      <c r="H95" s="3"/>
      <c r="I95" s="11"/>
      <c r="J95" s="3"/>
      <c r="K95" s="11"/>
      <c r="L95" s="12"/>
    </row>
    <row r="96" spans="1:12" ht="15" customHeight="1" x14ac:dyDescent="0.55000000000000004">
      <c r="A96" s="20" t="s">
        <v>520</v>
      </c>
      <c r="B96" s="20"/>
      <c r="C96" s="21"/>
      <c r="D96" s="21"/>
      <c r="E96" s="20"/>
      <c r="F96" s="20"/>
      <c r="G96" s="20"/>
      <c r="H96" s="21"/>
      <c r="I96" s="20"/>
      <c r="J96" s="21"/>
      <c r="K96" s="20"/>
      <c r="L96" s="22"/>
    </row>
    <row r="97" spans="1:12" ht="15" customHeight="1" x14ac:dyDescent="0.55000000000000004">
      <c r="A97" s="11" t="s">
        <v>521</v>
      </c>
      <c r="B97" s="11"/>
      <c r="C97" s="3"/>
      <c r="D97" s="3"/>
      <c r="E97" s="11"/>
      <c r="F97" s="11"/>
      <c r="G97" s="11"/>
      <c r="H97" s="3"/>
      <c r="I97" s="11"/>
      <c r="J97" s="3"/>
      <c r="K97" s="11"/>
      <c r="L97" s="12"/>
    </row>
    <row r="98" spans="1:12" ht="15" customHeight="1" x14ac:dyDescent="0.55000000000000004">
      <c r="A98" s="20" t="s">
        <v>522</v>
      </c>
      <c r="B98" s="20"/>
      <c r="C98" s="21"/>
      <c r="D98" s="21"/>
      <c r="E98" s="20"/>
      <c r="F98" s="20"/>
      <c r="G98" s="20"/>
      <c r="H98" s="21"/>
      <c r="I98" s="20"/>
      <c r="J98" s="21"/>
      <c r="K98" s="20"/>
      <c r="L98" s="22"/>
    </row>
    <row r="99" spans="1:12" ht="15" customHeight="1" x14ac:dyDescent="0.55000000000000004">
      <c r="A99" s="11" t="s">
        <v>523</v>
      </c>
      <c r="B99" s="11"/>
      <c r="C99" s="3"/>
      <c r="D99" s="3"/>
      <c r="E99" s="11"/>
      <c r="F99" s="11"/>
      <c r="G99" s="11"/>
      <c r="H99" s="3"/>
      <c r="I99" s="11"/>
      <c r="J99" s="3"/>
      <c r="K99" s="11"/>
      <c r="L99" s="12"/>
    </row>
    <row r="100" spans="1:12" ht="15" customHeight="1" x14ac:dyDescent="0.55000000000000004">
      <c r="A100" s="20" t="s">
        <v>264</v>
      </c>
      <c r="B100" s="20"/>
      <c r="C100" s="21"/>
      <c r="D100" s="21"/>
      <c r="E100" s="20"/>
      <c r="F100" s="20"/>
      <c r="G100" s="20"/>
      <c r="H100" s="21"/>
      <c r="I100" s="20"/>
      <c r="J100" s="21"/>
      <c r="K100" s="20"/>
      <c r="L100" s="22"/>
    </row>
    <row r="101" spans="1:12" ht="15" customHeight="1" x14ac:dyDescent="0.55000000000000004">
      <c r="A101" s="11" t="s">
        <v>524</v>
      </c>
      <c r="B101" s="11"/>
      <c r="C101" s="3"/>
      <c r="D101" s="3"/>
      <c r="E101" s="11"/>
      <c r="F101" s="11"/>
      <c r="G101" s="11"/>
      <c r="H101" s="3"/>
      <c r="I101" s="11"/>
      <c r="J101" s="3"/>
      <c r="K101" s="11"/>
      <c r="L101" s="12"/>
    </row>
    <row r="103" spans="1:12" ht="15" customHeight="1" x14ac:dyDescent="0.55000000000000004">
      <c r="A103" s="9" t="s">
        <v>25</v>
      </c>
    </row>
    <row r="104" spans="1:12" ht="27.75" customHeight="1" x14ac:dyDescent="0.55000000000000004">
      <c r="A104" s="44" t="s">
        <v>525</v>
      </c>
      <c r="B104" s="43"/>
      <c r="C104" s="43"/>
      <c r="D104" s="43"/>
      <c r="E104" s="43"/>
      <c r="F104" s="43"/>
      <c r="G104" s="43"/>
      <c r="H104" s="43"/>
      <c r="I104" s="43"/>
      <c r="J104" s="43"/>
      <c r="K104" s="43"/>
      <c r="L104" s="43"/>
    </row>
    <row r="105" spans="1:12" ht="27.75" customHeight="1" x14ac:dyDescent="0.55000000000000004">
      <c r="A105" s="44" t="s">
        <v>521</v>
      </c>
      <c r="B105" s="43"/>
      <c r="C105" s="43"/>
      <c r="D105" s="43"/>
      <c r="E105" s="43"/>
      <c r="F105" s="43"/>
      <c r="G105" s="43"/>
      <c r="H105" s="43"/>
      <c r="I105" s="43"/>
      <c r="J105" s="43"/>
      <c r="K105" s="43"/>
      <c r="L105" s="43"/>
    </row>
    <row r="106" spans="1:12" ht="27.75" customHeight="1" x14ac:dyDescent="0.55000000000000004">
      <c r="A106" s="44" t="s">
        <v>526</v>
      </c>
      <c r="B106" s="43"/>
      <c r="C106" s="43"/>
      <c r="D106" s="43"/>
      <c r="E106" s="43"/>
      <c r="F106" s="43"/>
      <c r="G106" s="43"/>
      <c r="H106" s="43"/>
      <c r="I106" s="43"/>
      <c r="J106" s="43"/>
      <c r="K106" s="43"/>
      <c r="L106" s="43"/>
    </row>
    <row r="107" spans="1:12" ht="27.75" customHeight="1" x14ac:dyDescent="0.55000000000000004">
      <c r="A107" s="44" t="s">
        <v>264</v>
      </c>
      <c r="B107" s="43"/>
      <c r="C107" s="43"/>
      <c r="D107" s="43"/>
      <c r="E107" s="43"/>
      <c r="F107" s="43"/>
      <c r="G107" s="43"/>
      <c r="H107" s="43"/>
      <c r="I107" s="43"/>
      <c r="J107" s="43"/>
      <c r="K107" s="43"/>
      <c r="L107" s="43"/>
    </row>
    <row r="108" spans="1:12" ht="27.75" customHeight="1" x14ac:dyDescent="0.55000000000000004">
      <c r="A108" s="44" t="s">
        <v>524</v>
      </c>
      <c r="B108" s="43"/>
      <c r="C108" s="43"/>
      <c r="D108" s="43"/>
      <c r="E108" s="43"/>
      <c r="F108" s="43"/>
      <c r="G108" s="43"/>
      <c r="H108" s="43"/>
      <c r="I108" s="43"/>
      <c r="J108" s="43"/>
      <c r="K108" s="43"/>
      <c r="L108" s="43"/>
    </row>
  </sheetData>
  <mergeCells count="7">
    <mergeCell ref="A2:L2"/>
    <mergeCell ref="A104:L104"/>
    <mergeCell ref="A108:L108"/>
    <mergeCell ref="A107:L107"/>
    <mergeCell ref="A1:L1"/>
    <mergeCell ref="A106:L106"/>
    <mergeCell ref="A105:L105"/>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34"/>
  <sheetViews>
    <sheetView zoomScaleNormal="100" workbookViewId="0">
      <selection sqref="A1:D1"/>
    </sheetView>
  </sheetViews>
  <sheetFormatPr defaultColWidth="8.68359375" defaultRowHeight="14.4" x14ac:dyDescent="0.55000000000000004"/>
  <cols>
    <col min="1" max="1" width="46" customWidth="1"/>
    <col min="2" max="2" width="14" customWidth="1"/>
  </cols>
  <sheetData>
    <row r="1" spans="1:4" ht="17.350000000000001" customHeight="1" x14ac:dyDescent="0.6">
      <c r="A1" s="45" t="s">
        <v>527</v>
      </c>
      <c r="B1" s="43"/>
      <c r="C1" s="43"/>
      <c r="D1" s="43"/>
    </row>
    <row r="3" spans="1:4" ht="15" customHeight="1" x14ac:dyDescent="0.55000000000000004">
      <c r="A3" s="26" t="s">
        <v>7</v>
      </c>
      <c r="B3" s="27">
        <f>COUNTA('1940 Servants'!$C$5:$C$93)</f>
        <v>89</v>
      </c>
    </row>
    <row r="5" spans="1:4" ht="15" customHeight="1" x14ac:dyDescent="0.55000000000000004">
      <c r="A5" s="26" t="s">
        <v>528</v>
      </c>
    </row>
    <row r="6" spans="1:4" ht="15" customHeight="1" x14ac:dyDescent="0.55000000000000004">
      <c r="A6" s="27" t="s">
        <v>529</v>
      </c>
      <c r="B6" s="27">
        <f>COUNTIF('1940 Servants'!$F$5:$F$93,"F")</f>
        <v>87</v>
      </c>
    </row>
    <row r="7" spans="1:4" ht="15" customHeight="1" x14ac:dyDescent="0.55000000000000004">
      <c r="A7" s="27" t="s">
        <v>530</v>
      </c>
      <c r="B7" s="27">
        <f>COUNTIF('1940 Servants'!$F$5:$F$93,"M")</f>
        <v>2</v>
      </c>
    </row>
    <row r="9" spans="1:4" ht="15" customHeight="1" x14ac:dyDescent="0.55000000000000004">
      <c r="A9" s="26" t="s">
        <v>274</v>
      </c>
    </row>
    <row r="10" spans="1:4" ht="15" customHeight="1" x14ac:dyDescent="0.55000000000000004">
      <c r="A10" s="27" t="s">
        <v>107</v>
      </c>
      <c r="B10" s="27">
        <f>COUNTIF('1940 Servants'!$I$5:$I$93,"White")</f>
        <v>66</v>
      </c>
    </row>
    <row r="11" spans="1:4" ht="15" customHeight="1" x14ac:dyDescent="0.55000000000000004">
      <c r="A11" s="27" t="s">
        <v>206</v>
      </c>
      <c r="B11" s="27">
        <f>COUNTIF('1940 Servants'!$I$5:$I$93,"Black")</f>
        <v>23</v>
      </c>
    </row>
    <row r="13" spans="1:4" ht="15" customHeight="1" x14ac:dyDescent="0.55000000000000004">
      <c r="A13" s="26" t="s">
        <v>275</v>
      </c>
    </row>
    <row r="14" spans="1:4" ht="15" customHeight="1" x14ac:dyDescent="0.55000000000000004">
      <c r="A14" s="27" t="s">
        <v>531</v>
      </c>
      <c r="B14" s="27">
        <f>COUNTIF('1940 Servants'!$G$5:$G$93,"S")</f>
        <v>73</v>
      </c>
    </row>
    <row r="15" spans="1:4" ht="15" customHeight="1" x14ac:dyDescent="0.55000000000000004">
      <c r="A15" s="27" t="s">
        <v>277</v>
      </c>
      <c r="B15" s="27">
        <f>COUNTIF('1940 Servants'!$G$5:$G$93,"Wd")</f>
        <v>8</v>
      </c>
    </row>
    <row r="16" spans="1:4" ht="15" customHeight="1" x14ac:dyDescent="0.55000000000000004">
      <c r="A16" s="27" t="s">
        <v>278</v>
      </c>
      <c r="B16" s="27">
        <f>COUNTIF('1940 Servants'!$G$5:$G$93,"Mar")</f>
        <v>6</v>
      </c>
    </row>
    <row r="17" spans="1:2" ht="15" customHeight="1" x14ac:dyDescent="0.55000000000000004">
      <c r="A17" s="27" t="s">
        <v>532</v>
      </c>
      <c r="B17" s="27">
        <f>COUNTIF('1940 Servants'!$G$5:$G$93,"Div")</f>
        <v>2</v>
      </c>
    </row>
    <row r="19" spans="1:2" ht="15" customHeight="1" x14ac:dyDescent="0.55000000000000004">
      <c r="A19" s="26" t="s">
        <v>279</v>
      </c>
    </row>
    <row r="20" spans="1:2" ht="15" customHeight="1" x14ac:dyDescent="0.55000000000000004">
      <c r="A20" s="27" t="s">
        <v>280</v>
      </c>
      <c r="B20" s="27">
        <f>COUNTIF('1940 Servants'!$H$5:$H$93,"New York")+COUNTIF('1940 Servants'!$H$5:$H$93,"New York (Bronx)")+COUNTIF('1940 Servants'!$H$5:$H$93,"Massachusetts")+COUNTIF('1940 Servants'!$H$5:$H$93,"Pennsylvania")+COUNTIF('1940 Servants'!$H$5:$H$93,"Pennsylvania (Johnstown)")+COUNTIF('1940 Servants'!$H$5:$H$93,"Pennsylvania (Hilldale)")+COUNTIF('1940 Servants'!$H$5:$H$93,"Connecticut (Greenwich)")+COUNTIF('1940 Servants'!$H$5:$H$93,"Michigan (Detroit)")+COUNTIF('1940 Servants'!$H$5:$H$93,"North Carolina")+COUNTIF('1940 Servants'!$H$5:$H$93,"Virginia")+COUNTIF('1940 Servants'!$H$5:$H$93,"Virginia (Whaleyville)")+COUNTIF('1940 Servants'!$H$5:$H$93,"Louisiana")+COUNTIF('1940 Servants'!$H$5:$H$93,"Louisiana (New Orleans)")+COUNTIF('1940 Servants'!$H$5:$H$93,"Ohio (Cincinnati)")+COUNTIF('1940 Servants'!$H$5:$H$93,"Ohio (Chicago)")+COUNTIF('1940 Servants'!$H$5:$H$93,"West Virginia (Morgantown)")+COUNTIF('1940 Servants'!$H$5:$H$93,"Delaware (Wilmington)")+COUNTIF('1940 Servants'!$H$5:$H$93,"Florida")+COUNTIF('1940 Servants'!$H$5:$H$93,"Georgia")+COUNTIF('1940 Servants'!$H$5:$H$93,"South Carolina (Florence)")+COUNTIF('1940 Servants'!$H$5:$H$93,"New Jersey")+COUNTIF('1940 Servants'!$H$5:$H$93,"Iowa (Chicago)")+COUNTIF('1940 Servants'!$H$5:$H$93,"New York (Lodi, NJ)")</f>
        <v>52</v>
      </c>
    </row>
    <row r="21" spans="1:2" ht="15" customHeight="1" x14ac:dyDescent="0.55000000000000004">
      <c r="A21" s="27" t="s">
        <v>281</v>
      </c>
      <c r="B21" s="27">
        <f>B3-B20</f>
        <v>37</v>
      </c>
    </row>
    <row r="23" spans="1:2" ht="15" customHeight="1" x14ac:dyDescent="0.55000000000000004">
      <c r="A23" s="26" t="s">
        <v>282</v>
      </c>
    </row>
    <row r="24" spans="1:2" ht="15" customHeight="1" x14ac:dyDescent="0.55000000000000004">
      <c r="A24" s="27" t="s">
        <v>22</v>
      </c>
      <c r="B24" s="27">
        <f>COUNTIF('1940 Servants'!$D$5:$D$93,"Housekeeper")</f>
        <v>74</v>
      </c>
    </row>
    <row r="25" spans="1:2" ht="15" customHeight="1" x14ac:dyDescent="0.55000000000000004">
      <c r="A25" s="27" t="s">
        <v>151</v>
      </c>
      <c r="B25" s="27">
        <f>COUNTIF('1940 Servants'!$D$5:$D$93,"Cook")</f>
        <v>4</v>
      </c>
    </row>
    <row r="26" spans="1:2" ht="15" customHeight="1" x14ac:dyDescent="0.55000000000000004">
      <c r="A26" s="27" t="s">
        <v>121</v>
      </c>
      <c r="B26" s="27">
        <f>COUNTIF('1940 Servants'!$D$5:$D$93,"Nurse")</f>
        <v>8</v>
      </c>
    </row>
    <row r="27" spans="1:2" ht="15" customHeight="1" x14ac:dyDescent="0.55000000000000004">
      <c r="A27" s="27" t="s">
        <v>292</v>
      </c>
      <c r="B27" s="27">
        <f>COUNTIF('1940 Servants'!$D$5:$D$93,"Butler")</f>
        <v>1</v>
      </c>
    </row>
    <row r="28" spans="1:2" ht="15" customHeight="1" x14ac:dyDescent="0.55000000000000004">
      <c r="A28" s="27" t="s">
        <v>430</v>
      </c>
      <c r="B28" s="27">
        <f>COUNTIF('1940 Servants'!$D$5:$D$93,"Chauffeur")</f>
        <v>1</v>
      </c>
    </row>
    <row r="29" spans="1:2" ht="15" customHeight="1" x14ac:dyDescent="0.55000000000000004">
      <c r="A29" s="27" t="s">
        <v>341</v>
      </c>
      <c r="B29" s="27">
        <f>COUNTIF('1940 Servants'!$D$5:$D$93,"Housework")</f>
        <v>1</v>
      </c>
    </row>
    <row r="31" spans="1:2" ht="15" customHeight="1" x14ac:dyDescent="0.55000000000000004">
      <c r="A31" s="26" t="s">
        <v>283</v>
      </c>
      <c r="B31" s="27">
        <f>AVERAGE('1940 Servants'!$E$5:$E$93)</f>
        <v>31.640449438202246</v>
      </c>
    </row>
    <row r="32" spans="1:2" ht="15" customHeight="1" x14ac:dyDescent="0.55000000000000004">
      <c r="A32" s="26" t="s">
        <v>284</v>
      </c>
      <c r="B32" s="27">
        <f>MEDIAN('1940 Servants'!$E$5:$E$93)</f>
        <v>29</v>
      </c>
    </row>
    <row r="34" spans="1:6" ht="27.75" customHeight="1" x14ac:dyDescent="0.55000000000000004">
      <c r="A34" s="51" t="s">
        <v>533</v>
      </c>
      <c r="B34" s="52"/>
      <c r="C34" s="52"/>
      <c r="D34" s="52"/>
      <c r="E34" s="52"/>
      <c r="F34" s="53"/>
    </row>
  </sheetData>
  <mergeCells count="2">
    <mergeCell ref="A1:D1"/>
    <mergeCell ref="A34:F34"/>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51"/>
  <sheetViews>
    <sheetView zoomScaleNormal="100" workbookViewId="0">
      <pane ySplit="4" topLeftCell="A5" activePane="bottomLeft" state="frozen"/>
      <selection pane="bottomLeft" activeCell="A5" sqref="A5"/>
    </sheetView>
  </sheetViews>
  <sheetFormatPr defaultColWidth="8.68359375" defaultRowHeight="14.4" x14ac:dyDescent="0.55000000000000004"/>
  <cols>
    <col min="1" max="1" width="10" customWidth="1"/>
    <col min="2" max="2" width="6" customWidth="1"/>
    <col min="3" max="3" width="26" customWidth="1"/>
    <col min="4" max="4" width="16" customWidth="1"/>
    <col min="5" max="5" width="6" customWidth="1"/>
    <col min="6" max="6" width="5" customWidth="1"/>
    <col min="7" max="7" width="10" customWidth="1"/>
    <col min="8" max="8" width="20" customWidth="1"/>
    <col min="9" max="9" width="8" customWidth="1"/>
    <col min="10" max="10" width="28" customWidth="1"/>
    <col min="11" max="11" width="12" customWidth="1"/>
    <col min="12" max="12" width="45" customWidth="1"/>
  </cols>
  <sheetData>
    <row r="1" spans="1:12" ht="17.350000000000001" customHeight="1" x14ac:dyDescent="0.6">
      <c r="A1" s="54" t="s">
        <v>534</v>
      </c>
      <c r="B1" s="43"/>
      <c r="C1" s="43"/>
      <c r="D1" s="43"/>
      <c r="E1" s="43"/>
      <c r="F1" s="43"/>
      <c r="G1" s="43"/>
      <c r="H1" s="43"/>
      <c r="I1" s="43"/>
      <c r="J1" s="43"/>
      <c r="K1" s="43"/>
      <c r="L1" s="43"/>
    </row>
    <row r="2" spans="1:12" ht="15" customHeight="1" x14ac:dyDescent="0.55000000000000004">
      <c r="A2" s="42" t="s">
        <v>535</v>
      </c>
      <c r="B2" s="43"/>
      <c r="C2" s="43"/>
      <c r="D2" s="43"/>
      <c r="E2" s="43"/>
      <c r="F2" s="43"/>
      <c r="G2" s="43"/>
      <c r="H2" s="43"/>
      <c r="I2" s="43"/>
      <c r="J2" s="43"/>
      <c r="K2" s="43"/>
      <c r="L2" s="43"/>
    </row>
    <row r="3" spans="1:12" x14ac:dyDescent="0.55000000000000004">
      <c r="A3" t="s">
        <v>621</v>
      </c>
    </row>
    <row r="4" spans="1:12" ht="23.85" customHeight="1" x14ac:dyDescent="0.55000000000000004">
      <c r="A4" s="23" t="s">
        <v>91</v>
      </c>
      <c r="B4" s="23" t="s">
        <v>92</v>
      </c>
      <c r="C4" s="23" t="s">
        <v>93</v>
      </c>
      <c r="D4" s="23" t="s">
        <v>94</v>
      </c>
      <c r="E4" s="23" t="s">
        <v>95</v>
      </c>
      <c r="F4" s="23" t="s">
        <v>96</v>
      </c>
      <c r="G4" s="23" t="s">
        <v>97</v>
      </c>
      <c r="H4" s="23" t="s">
        <v>98</v>
      </c>
      <c r="I4" s="23" t="s">
        <v>99</v>
      </c>
      <c r="J4" s="23" t="s">
        <v>100</v>
      </c>
      <c r="K4" s="23" t="s">
        <v>536</v>
      </c>
      <c r="L4" s="23" t="s">
        <v>39</v>
      </c>
    </row>
    <row r="5" spans="1:12" ht="15" customHeight="1" x14ac:dyDescent="0.55000000000000004">
      <c r="A5" s="11">
        <v>18</v>
      </c>
      <c r="B5" s="11">
        <v>5</v>
      </c>
      <c r="C5" s="3" t="s">
        <v>537</v>
      </c>
      <c r="D5" s="3" t="s">
        <v>341</v>
      </c>
      <c r="E5" s="11">
        <v>55</v>
      </c>
      <c r="F5" s="11" t="s">
        <v>104</v>
      </c>
      <c r="G5" s="11" t="s">
        <v>182</v>
      </c>
      <c r="H5" s="3" t="s">
        <v>538</v>
      </c>
      <c r="I5" s="11" t="s">
        <v>107</v>
      </c>
      <c r="J5" s="3" t="s">
        <v>408</v>
      </c>
      <c r="K5" s="11">
        <v>45</v>
      </c>
      <c r="L5" s="12"/>
    </row>
    <row r="6" spans="1:12" ht="15" customHeight="1" x14ac:dyDescent="0.55000000000000004">
      <c r="A6" s="24">
        <v>19</v>
      </c>
      <c r="B6" s="24">
        <v>14</v>
      </c>
      <c r="C6" s="6" t="s">
        <v>539</v>
      </c>
      <c r="D6" s="6" t="s">
        <v>540</v>
      </c>
      <c r="E6" s="24">
        <v>41</v>
      </c>
      <c r="F6" s="24" t="s">
        <v>104</v>
      </c>
      <c r="G6" s="24" t="s">
        <v>541</v>
      </c>
      <c r="H6" s="6" t="s">
        <v>342</v>
      </c>
      <c r="I6" s="24" t="s">
        <v>107</v>
      </c>
      <c r="J6" s="6" t="s">
        <v>542</v>
      </c>
      <c r="K6" s="24">
        <v>48</v>
      </c>
      <c r="L6" s="25"/>
    </row>
    <row r="7" spans="1:12" ht="23.85" customHeight="1" x14ac:dyDescent="0.55000000000000004">
      <c r="A7" s="16">
        <v>19</v>
      </c>
      <c r="B7" s="16">
        <v>29</v>
      </c>
      <c r="C7" s="17" t="s">
        <v>543</v>
      </c>
      <c r="D7" s="17" t="s">
        <v>544</v>
      </c>
      <c r="E7" s="16">
        <v>64</v>
      </c>
      <c r="F7" s="16" t="s">
        <v>104</v>
      </c>
      <c r="G7" s="16" t="s">
        <v>182</v>
      </c>
      <c r="H7" s="17" t="s">
        <v>545</v>
      </c>
      <c r="I7" s="16" t="s">
        <v>107</v>
      </c>
      <c r="J7" s="17" t="s">
        <v>546</v>
      </c>
      <c r="K7" s="16"/>
      <c r="L7" s="18" t="s">
        <v>547</v>
      </c>
    </row>
    <row r="8" spans="1:12" ht="15" customHeight="1" x14ac:dyDescent="0.55000000000000004">
      <c r="A8" s="24">
        <v>19</v>
      </c>
      <c r="B8" s="24">
        <v>30</v>
      </c>
      <c r="C8" s="6" t="s">
        <v>548</v>
      </c>
      <c r="D8" s="6" t="s">
        <v>187</v>
      </c>
      <c r="E8" s="24">
        <v>21</v>
      </c>
      <c r="F8" s="24" t="s">
        <v>104</v>
      </c>
      <c r="G8" s="24" t="s">
        <v>549</v>
      </c>
      <c r="H8" s="6" t="s">
        <v>350</v>
      </c>
      <c r="I8" s="24" t="s">
        <v>206</v>
      </c>
      <c r="J8" s="6" t="s">
        <v>550</v>
      </c>
      <c r="K8" s="24">
        <v>48</v>
      </c>
      <c r="L8" s="25"/>
    </row>
    <row r="9" spans="1:12" ht="15" customHeight="1" x14ac:dyDescent="0.55000000000000004">
      <c r="A9" s="11">
        <v>21</v>
      </c>
      <c r="B9" s="11">
        <v>7</v>
      </c>
      <c r="C9" s="3" t="s">
        <v>551</v>
      </c>
      <c r="D9" s="3" t="s">
        <v>552</v>
      </c>
      <c r="E9" s="11">
        <v>63</v>
      </c>
      <c r="F9" s="11" t="s">
        <v>104</v>
      </c>
      <c r="G9" s="11" t="s">
        <v>541</v>
      </c>
      <c r="H9" s="3" t="s">
        <v>116</v>
      </c>
      <c r="I9" s="11" t="s">
        <v>107</v>
      </c>
      <c r="J9" s="3" t="s">
        <v>553</v>
      </c>
      <c r="K9" s="11">
        <v>60</v>
      </c>
      <c r="L9" s="12"/>
    </row>
    <row r="10" spans="1:12" ht="15" customHeight="1" x14ac:dyDescent="0.55000000000000004">
      <c r="A10" s="24">
        <v>21</v>
      </c>
      <c r="B10" s="24">
        <v>15</v>
      </c>
      <c r="C10" s="6" t="s">
        <v>554</v>
      </c>
      <c r="D10" s="6" t="s">
        <v>23</v>
      </c>
      <c r="E10" s="24">
        <v>19</v>
      </c>
      <c r="F10" s="24" t="s">
        <v>104</v>
      </c>
      <c r="G10" s="24" t="s">
        <v>541</v>
      </c>
      <c r="H10" s="6" t="s">
        <v>116</v>
      </c>
      <c r="I10" s="24" t="s">
        <v>107</v>
      </c>
      <c r="J10" s="6" t="s">
        <v>555</v>
      </c>
      <c r="K10" s="24">
        <v>49</v>
      </c>
      <c r="L10" s="25"/>
    </row>
    <row r="11" spans="1:12" ht="15" customHeight="1" x14ac:dyDescent="0.55000000000000004">
      <c r="A11" s="11">
        <v>21</v>
      </c>
      <c r="B11" s="11">
        <v>28</v>
      </c>
      <c r="C11" s="3" t="s">
        <v>556</v>
      </c>
      <c r="D11" s="3" t="s">
        <v>23</v>
      </c>
      <c r="E11" s="11">
        <v>63</v>
      </c>
      <c r="F11" s="11" t="s">
        <v>104</v>
      </c>
      <c r="G11" s="11" t="s">
        <v>182</v>
      </c>
      <c r="H11" s="3" t="s">
        <v>557</v>
      </c>
      <c r="I11" s="11" t="s">
        <v>206</v>
      </c>
      <c r="J11" s="3" t="s">
        <v>558</v>
      </c>
      <c r="K11" s="11">
        <v>48</v>
      </c>
      <c r="L11" s="12"/>
    </row>
    <row r="12" spans="1:12" ht="15" customHeight="1" x14ac:dyDescent="0.55000000000000004">
      <c r="A12" s="24">
        <v>23</v>
      </c>
      <c r="B12" s="24">
        <v>13</v>
      </c>
      <c r="C12" s="6" t="s">
        <v>559</v>
      </c>
      <c r="D12" s="6" t="s">
        <v>23</v>
      </c>
      <c r="E12" s="24">
        <v>38</v>
      </c>
      <c r="F12" s="24" t="s">
        <v>104</v>
      </c>
      <c r="G12" s="24" t="s">
        <v>182</v>
      </c>
      <c r="H12" s="6" t="s">
        <v>557</v>
      </c>
      <c r="I12" s="24" t="s">
        <v>206</v>
      </c>
      <c r="J12" s="6" t="s">
        <v>560</v>
      </c>
      <c r="K12" s="24">
        <v>48</v>
      </c>
      <c r="L12" s="25"/>
    </row>
    <row r="13" spans="1:12" ht="15" customHeight="1" x14ac:dyDescent="0.55000000000000004">
      <c r="A13" s="11">
        <v>23</v>
      </c>
      <c r="B13" s="11">
        <v>21</v>
      </c>
      <c r="C13" s="3" t="s">
        <v>561</v>
      </c>
      <c r="D13" s="3" t="s">
        <v>23</v>
      </c>
      <c r="E13" s="11">
        <v>61</v>
      </c>
      <c r="F13" s="11" t="s">
        <v>104</v>
      </c>
      <c r="G13" s="11" t="s">
        <v>541</v>
      </c>
      <c r="H13" s="3" t="s">
        <v>562</v>
      </c>
      <c r="I13" s="11" t="s">
        <v>107</v>
      </c>
      <c r="J13" s="3" t="s">
        <v>323</v>
      </c>
      <c r="K13" s="11">
        <v>48</v>
      </c>
      <c r="L13" s="12"/>
    </row>
    <row r="14" spans="1:12" ht="15" customHeight="1" x14ac:dyDescent="0.55000000000000004">
      <c r="A14" s="24">
        <v>23</v>
      </c>
      <c r="B14" s="24">
        <v>26</v>
      </c>
      <c r="C14" s="6" t="s">
        <v>563</v>
      </c>
      <c r="D14" s="6" t="s">
        <v>23</v>
      </c>
      <c r="E14" s="24">
        <v>30</v>
      </c>
      <c r="F14" s="24" t="s">
        <v>104</v>
      </c>
      <c r="G14" s="24" t="s">
        <v>541</v>
      </c>
      <c r="H14" s="6" t="s">
        <v>116</v>
      </c>
      <c r="I14" s="24" t="s">
        <v>107</v>
      </c>
      <c r="J14" s="6" t="s">
        <v>564</v>
      </c>
      <c r="K14" s="24">
        <v>48</v>
      </c>
      <c r="L14" s="25"/>
    </row>
    <row r="15" spans="1:12" ht="23.85" customHeight="1" x14ac:dyDescent="0.55000000000000004">
      <c r="A15" s="16">
        <v>23</v>
      </c>
      <c r="B15" s="16">
        <v>29</v>
      </c>
      <c r="C15" s="17" t="s">
        <v>565</v>
      </c>
      <c r="D15" s="17" t="s">
        <v>23</v>
      </c>
      <c r="E15" s="16">
        <v>40</v>
      </c>
      <c r="F15" s="16" t="s">
        <v>104</v>
      </c>
      <c r="G15" s="16" t="s">
        <v>566</v>
      </c>
      <c r="H15" s="17" t="s">
        <v>256</v>
      </c>
      <c r="I15" s="16" t="s">
        <v>206</v>
      </c>
      <c r="J15" s="17" t="s">
        <v>567</v>
      </c>
      <c r="K15" s="16">
        <v>48</v>
      </c>
      <c r="L15" s="18" t="s">
        <v>568</v>
      </c>
    </row>
    <row r="16" spans="1:12" ht="15" customHeight="1" x14ac:dyDescent="0.55000000000000004">
      <c r="A16" s="24">
        <v>24</v>
      </c>
      <c r="B16" s="24">
        <v>4</v>
      </c>
      <c r="C16" s="6" t="s">
        <v>569</v>
      </c>
      <c r="D16" s="6" t="s">
        <v>23</v>
      </c>
      <c r="E16" s="24">
        <v>36</v>
      </c>
      <c r="F16" s="24" t="s">
        <v>104</v>
      </c>
      <c r="G16" s="24" t="s">
        <v>541</v>
      </c>
      <c r="H16" s="6" t="s">
        <v>402</v>
      </c>
      <c r="I16" s="24" t="s">
        <v>107</v>
      </c>
      <c r="J16" s="6" t="s">
        <v>70</v>
      </c>
      <c r="K16" s="24">
        <v>48</v>
      </c>
      <c r="L16" s="25"/>
    </row>
    <row r="17" spans="1:12" ht="15" customHeight="1" x14ac:dyDescent="0.55000000000000004">
      <c r="A17" s="11">
        <v>24</v>
      </c>
      <c r="B17" s="11">
        <v>6</v>
      </c>
      <c r="C17" s="3" t="s">
        <v>333</v>
      </c>
      <c r="D17" s="3" t="s">
        <v>570</v>
      </c>
      <c r="E17" s="11">
        <v>58</v>
      </c>
      <c r="F17" s="11" t="s">
        <v>104</v>
      </c>
      <c r="G17" s="11" t="s">
        <v>541</v>
      </c>
      <c r="H17" s="3" t="s">
        <v>162</v>
      </c>
      <c r="I17" s="11" t="s">
        <v>107</v>
      </c>
      <c r="J17" s="3" t="s">
        <v>571</v>
      </c>
      <c r="K17" s="11">
        <v>48</v>
      </c>
      <c r="L17" s="12"/>
    </row>
    <row r="18" spans="1:12" ht="15" customHeight="1" x14ac:dyDescent="0.55000000000000004">
      <c r="A18" s="24">
        <v>24</v>
      </c>
      <c r="B18" s="24">
        <v>9</v>
      </c>
      <c r="C18" s="6" t="s">
        <v>572</v>
      </c>
      <c r="D18" s="6" t="s">
        <v>23</v>
      </c>
      <c r="E18" s="24">
        <v>58</v>
      </c>
      <c r="F18" s="24" t="s">
        <v>104</v>
      </c>
      <c r="G18" s="24" t="s">
        <v>182</v>
      </c>
      <c r="H18" s="6" t="s">
        <v>573</v>
      </c>
      <c r="I18" s="24" t="s">
        <v>107</v>
      </c>
      <c r="J18" s="6" t="s">
        <v>574</v>
      </c>
      <c r="K18" s="24">
        <v>48</v>
      </c>
      <c r="L18" s="25"/>
    </row>
    <row r="19" spans="1:12" ht="15" customHeight="1" x14ac:dyDescent="0.55000000000000004">
      <c r="A19" s="11">
        <v>24</v>
      </c>
      <c r="B19" s="11">
        <v>12</v>
      </c>
      <c r="C19" s="3" t="s">
        <v>575</v>
      </c>
      <c r="D19" s="3" t="s">
        <v>23</v>
      </c>
      <c r="E19" s="11">
        <v>31</v>
      </c>
      <c r="F19" s="11" t="s">
        <v>104</v>
      </c>
      <c r="G19" s="11" t="s">
        <v>541</v>
      </c>
      <c r="H19" s="3" t="s">
        <v>143</v>
      </c>
      <c r="I19" s="11" t="s">
        <v>107</v>
      </c>
      <c r="J19" s="3" t="s">
        <v>576</v>
      </c>
      <c r="K19" s="11">
        <v>48</v>
      </c>
      <c r="L19" s="12"/>
    </row>
    <row r="20" spans="1:12" ht="15" customHeight="1" x14ac:dyDescent="0.55000000000000004">
      <c r="A20" s="24">
        <v>24</v>
      </c>
      <c r="B20" s="24">
        <v>23</v>
      </c>
      <c r="C20" s="6" t="s">
        <v>577</v>
      </c>
      <c r="D20" s="6" t="s">
        <v>23</v>
      </c>
      <c r="E20" s="24">
        <v>22</v>
      </c>
      <c r="F20" s="24" t="s">
        <v>104</v>
      </c>
      <c r="G20" s="24" t="s">
        <v>541</v>
      </c>
      <c r="H20" s="6" t="s">
        <v>402</v>
      </c>
      <c r="I20" s="24" t="s">
        <v>107</v>
      </c>
      <c r="J20" s="6" t="s">
        <v>578</v>
      </c>
      <c r="K20" s="24">
        <v>48</v>
      </c>
      <c r="L20" s="25"/>
    </row>
    <row r="21" spans="1:12" ht="15" customHeight="1" x14ac:dyDescent="0.55000000000000004">
      <c r="A21" s="11">
        <v>24</v>
      </c>
      <c r="B21" s="11">
        <v>24</v>
      </c>
      <c r="C21" s="3" t="s">
        <v>198</v>
      </c>
      <c r="D21" s="3" t="s">
        <v>23</v>
      </c>
      <c r="E21" s="11">
        <v>28</v>
      </c>
      <c r="F21" s="11" t="s">
        <v>104</v>
      </c>
      <c r="G21" s="11" t="s">
        <v>541</v>
      </c>
      <c r="H21" s="3" t="s">
        <v>116</v>
      </c>
      <c r="I21" s="11" t="s">
        <v>107</v>
      </c>
      <c r="J21" s="3" t="s">
        <v>578</v>
      </c>
      <c r="K21" s="11">
        <v>48</v>
      </c>
      <c r="L21" s="12"/>
    </row>
    <row r="22" spans="1:12" ht="15" customHeight="1" x14ac:dyDescent="0.55000000000000004">
      <c r="A22" s="24">
        <v>26</v>
      </c>
      <c r="B22" s="24">
        <v>19</v>
      </c>
      <c r="C22" s="6" t="s">
        <v>579</v>
      </c>
      <c r="D22" s="6" t="s">
        <v>580</v>
      </c>
      <c r="E22" s="24">
        <v>49</v>
      </c>
      <c r="F22" s="24" t="s">
        <v>104</v>
      </c>
      <c r="G22" s="24" t="s">
        <v>541</v>
      </c>
      <c r="H22" s="6" t="s">
        <v>110</v>
      </c>
      <c r="I22" s="24" t="s">
        <v>107</v>
      </c>
      <c r="J22" s="6" t="s">
        <v>581</v>
      </c>
      <c r="K22" s="24">
        <v>48</v>
      </c>
      <c r="L22" s="25"/>
    </row>
    <row r="23" spans="1:12" ht="15" customHeight="1" x14ac:dyDescent="0.55000000000000004">
      <c r="A23" s="11">
        <v>27</v>
      </c>
      <c r="B23" s="11">
        <v>6</v>
      </c>
      <c r="C23" s="3" t="s">
        <v>582</v>
      </c>
      <c r="D23" s="3" t="s">
        <v>23</v>
      </c>
      <c r="E23" s="11">
        <v>38</v>
      </c>
      <c r="F23" s="11" t="s">
        <v>104</v>
      </c>
      <c r="G23" s="11" t="s">
        <v>566</v>
      </c>
      <c r="H23" s="3" t="s">
        <v>487</v>
      </c>
      <c r="I23" s="11" t="s">
        <v>206</v>
      </c>
      <c r="J23" s="3" t="s">
        <v>583</v>
      </c>
      <c r="K23" s="11">
        <v>48</v>
      </c>
      <c r="L23" s="12"/>
    </row>
    <row r="24" spans="1:12" ht="15" customHeight="1" x14ac:dyDescent="0.55000000000000004">
      <c r="A24" s="24">
        <v>28</v>
      </c>
      <c r="B24" s="24">
        <v>18</v>
      </c>
      <c r="C24" s="6" t="s">
        <v>584</v>
      </c>
      <c r="D24" s="6" t="s">
        <v>23</v>
      </c>
      <c r="E24" s="24">
        <v>54</v>
      </c>
      <c r="F24" s="24" t="s">
        <v>104</v>
      </c>
      <c r="G24" s="24" t="s">
        <v>541</v>
      </c>
      <c r="H24" s="6" t="s">
        <v>350</v>
      </c>
      <c r="I24" s="24" t="s">
        <v>206</v>
      </c>
      <c r="J24" s="6" t="s">
        <v>585</v>
      </c>
      <c r="K24" s="24">
        <v>40</v>
      </c>
      <c r="L24" s="25"/>
    </row>
    <row r="25" spans="1:12" ht="15" customHeight="1" x14ac:dyDescent="0.55000000000000004">
      <c r="A25" s="11">
        <v>29</v>
      </c>
      <c r="B25" s="11">
        <v>13</v>
      </c>
      <c r="C25" s="3" t="s">
        <v>586</v>
      </c>
      <c r="D25" s="3" t="s">
        <v>23</v>
      </c>
      <c r="E25" s="11">
        <v>45</v>
      </c>
      <c r="F25" s="11" t="s">
        <v>104</v>
      </c>
      <c r="G25" s="11" t="s">
        <v>541</v>
      </c>
      <c r="H25" s="3" t="s">
        <v>587</v>
      </c>
      <c r="I25" s="11" t="s">
        <v>107</v>
      </c>
      <c r="J25" s="3" t="s">
        <v>588</v>
      </c>
      <c r="K25" s="11">
        <v>48</v>
      </c>
      <c r="L25" s="12"/>
    </row>
    <row r="26" spans="1:12" ht="15" customHeight="1" x14ac:dyDescent="0.55000000000000004">
      <c r="A26" s="24">
        <v>30</v>
      </c>
      <c r="B26" s="24">
        <v>29</v>
      </c>
      <c r="C26" s="6" t="s">
        <v>589</v>
      </c>
      <c r="D26" s="6" t="s">
        <v>187</v>
      </c>
      <c r="E26" s="24">
        <v>38</v>
      </c>
      <c r="F26" s="24" t="s">
        <v>104</v>
      </c>
      <c r="G26" s="24" t="s">
        <v>541</v>
      </c>
      <c r="H26" s="6" t="s">
        <v>298</v>
      </c>
      <c r="I26" s="24" t="s">
        <v>107</v>
      </c>
      <c r="J26" s="6" t="s">
        <v>590</v>
      </c>
      <c r="K26" s="24">
        <v>40</v>
      </c>
      <c r="L26" s="25"/>
    </row>
    <row r="27" spans="1:12" ht="15" customHeight="1" x14ac:dyDescent="0.55000000000000004">
      <c r="A27" s="11">
        <v>31</v>
      </c>
      <c r="B27" s="11">
        <v>6</v>
      </c>
      <c r="C27" s="3" t="s">
        <v>591</v>
      </c>
      <c r="D27" s="3" t="s">
        <v>22</v>
      </c>
      <c r="E27" s="11">
        <v>48</v>
      </c>
      <c r="F27" s="11" t="s">
        <v>104</v>
      </c>
      <c r="G27" s="11" t="s">
        <v>541</v>
      </c>
      <c r="H27" s="3" t="s">
        <v>110</v>
      </c>
      <c r="I27" s="11" t="s">
        <v>107</v>
      </c>
      <c r="J27" s="3" t="s">
        <v>592</v>
      </c>
      <c r="K27" s="11">
        <v>40</v>
      </c>
      <c r="L27" s="12"/>
    </row>
    <row r="28" spans="1:12" ht="15" customHeight="1" x14ac:dyDescent="0.55000000000000004">
      <c r="A28" s="24">
        <v>31</v>
      </c>
      <c r="B28" s="24">
        <v>16</v>
      </c>
      <c r="C28" s="6" t="s">
        <v>593</v>
      </c>
      <c r="D28" s="6" t="s">
        <v>23</v>
      </c>
      <c r="E28" s="24">
        <v>40</v>
      </c>
      <c r="F28" s="24" t="s">
        <v>104</v>
      </c>
      <c r="G28" s="24" t="s">
        <v>541</v>
      </c>
      <c r="H28" s="6" t="s">
        <v>110</v>
      </c>
      <c r="I28" s="24" t="s">
        <v>107</v>
      </c>
      <c r="J28" s="6" t="s">
        <v>594</v>
      </c>
      <c r="K28" s="24">
        <v>48</v>
      </c>
      <c r="L28" s="25"/>
    </row>
    <row r="29" spans="1:12" ht="15" customHeight="1" x14ac:dyDescent="0.55000000000000004">
      <c r="A29" s="11">
        <v>31</v>
      </c>
      <c r="B29" s="11">
        <v>22</v>
      </c>
      <c r="C29" s="3" t="s">
        <v>595</v>
      </c>
      <c r="D29" s="3" t="s">
        <v>23</v>
      </c>
      <c r="E29" s="11">
        <v>56</v>
      </c>
      <c r="F29" s="11" t="s">
        <v>104</v>
      </c>
      <c r="G29" s="11" t="s">
        <v>541</v>
      </c>
      <c r="H29" s="3" t="s">
        <v>113</v>
      </c>
      <c r="I29" s="11" t="s">
        <v>107</v>
      </c>
      <c r="J29" s="3" t="s">
        <v>312</v>
      </c>
      <c r="K29" s="11">
        <v>48</v>
      </c>
      <c r="L29" s="12"/>
    </row>
    <row r="30" spans="1:12" ht="15" customHeight="1" x14ac:dyDescent="0.55000000000000004">
      <c r="A30" s="24">
        <v>32</v>
      </c>
      <c r="B30" s="24">
        <v>16</v>
      </c>
      <c r="C30" s="6" t="s">
        <v>596</v>
      </c>
      <c r="D30" s="6" t="s">
        <v>151</v>
      </c>
      <c r="E30" s="24">
        <v>70</v>
      </c>
      <c r="F30" s="24" t="s">
        <v>104</v>
      </c>
      <c r="G30" s="24" t="s">
        <v>566</v>
      </c>
      <c r="H30" s="6" t="s">
        <v>350</v>
      </c>
      <c r="I30" s="24" t="s">
        <v>206</v>
      </c>
      <c r="J30" s="6" t="s">
        <v>597</v>
      </c>
      <c r="K30" s="24">
        <v>48</v>
      </c>
      <c r="L30" s="25"/>
    </row>
    <row r="31" spans="1:12" ht="15" customHeight="1" x14ac:dyDescent="0.55000000000000004">
      <c r="A31" s="11">
        <v>33</v>
      </c>
      <c r="B31" s="11">
        <v>5</v>
      </c>
      <c r="C31" s="3" t="s">
        <v>598</v>
      </c>
      <c r="D31" s="3" t="s">
        <v>151</v>
      </c>
      <c r="E31" s="11">
        <v>60</v>
      </c>
      <c r="F31" s="11" t="s">
        <v>104</v>
      </c>
      <c r="G31" s="11" t="s">
        <v>182</v>
      </c>
      <c r="H31" s="3" t="s">
        <v>162</v>
      </c>
      <c r="I31" s="11" t="s">
        <v>107</v>
      </c>
      <c r="J31" s="3" t="s">
        <v>599</v>
      </c>
      <c r="K31" s="11">
        <v>48</v>
      </c>
      <c r="L31" s="12"/>
    </row>
    <row r="32" spans="1:12" ht="15" customHeight="1" x14ac:dyDescent="0.55000000000000004">
      <c r="A32" s="24">
        <v>33</v>
      </c>
      <c r="B32" s="24">
        <v>17</v>
      </c>
      <c r="C32" s="6" t="s">
        <v>600</v>
      </c>
      <c r="D32" s="6" t="s">
        <v>187</v>
      </c>
      <c r="E32" s="24">
        <v>26</v>
      </c>
      <c r="F32" s="24" t="s">
        <v>104</v>
      </c>
      <c r="G32" s="24" t="s">
        <v>541</v>
      </c>
      <c r="H32" s="6" t="s">
        <v>116</v>
      </c>
      <c r="I32" s="24" t="s">
        <v>107</v>
      </c>
      <c r="J32" s="6" t="s">
        <v>601</v>
      </c>
      <c r="K32" s="24">
        <v>55</v>
      </c>
      <c r="L32" s="25"/>
    </row>
    <row r="33" spans="1:12" ht="15" customHeight="1" x14ac:dyDescent="0.55000000000000004">
      <c r="A33" s="11">
        <v>33</v>
      </c>
      <c r="B33" s="11">
        <v>18</v>
      </c>
      <c r="C33" s="3" t="s">
        <v>602</v>
      </c>
      <c r="D33" s="3" t="s">
        <v>187</v>
      </c>
      <c r="E33" s="11">
        <v>55</v>
      </c>
      <c r="F33" s="11" t="s">
        <v>104</v>
      </c>
      <c r="G33" s="11" t="s">
        <v>182</v>
      </c>
      <c r="H33" s="3" t="s">
        <v>345</v>
      </c>
      <c r="I33" s="11" t="s">
        <v>107</v>
      </c>
      <c r="J33" s="3" t="s">
        <v>601</v>
      </c>
      <c r="K33" s="11">
        <v>55</v>
      </c>
      <c r="L33" s="12"/>
    </row>
    <row r="34" spans="1:12" ht="15" customHeight="1" x14ac:dyDescent="0.55000000000000004">
      <c r="A34" s="24">
        <v>33</v>
      </c>
      <c r="B34" s="24">
        <v>22</v>
      </c>
      <c r="C34" s="6" t="s">
        <v>603</v>
      </c>
      <c r="D34" s="6" t="s">
        <v>187</v>
      </c>
      <c r="E34" s="24">
        <v>42</v>
      </c>
      <c r="F34" s="24" t="s">
        <v>104</v>
      </c>
      <c r="G34" s="24" t="s">
        <v>566</v>
      </c>
      <c r="H34" s="6" t="s">
        <v>385</v>
      </c>
      <c r="I34" s="24" t="s">
        <v>206</v>
      </c>
      <c r="J34" s="6" t="s">
        <v>604</v>
      </c>
      <c r="K34" s="24">
        <v>55</v>
      </c>
      <c r="L34" s="25"/>
    </row>
    <row r="35" spans="1:12" ht="15" customHeight="1" x14ac:dyDescent="0.55000000000000004">
      <c r="A35" s="11">
        <v>34</v>
      </c>
      <c r="B35" s="11">
        <v>8</v>
      </c>
      <c r="C35" s="3" t="s">
        <v>605</v>
      </c>
      <c r="D35" s="3" t="s">
        <v>23</v>
      </c>
      <c r="E35" s="11">
        <v>38</v>
      </c>
      <c r="F35" s="11" t="s">
        <v>104</v>
      </c>
      <c r="G35" s="11" t="s">
        <v>541</v>
      </c>
      <c r="H35" s="3" t="s">
        <v>110</v>
      </c>
      <c r="I35" s="11" t="s">
        <v>107</v>
      </c>
      <c r="J35" s="3" t="s">
        <v>606</v>
      </c>
      <c r="K35" s="11">
        <v>55</v>
      </c>
      <c r="L35" s="12"/>
    </row>
    <row r="36" spans="1:12" ht="15" customHeight="1" x14ac:dyDescent="0.55000000000000004">
      <c r="A36" s="24">
        <v>34</v>
      </c>
      <c r="B36" s="24">
        <v>20</v>
      </c>
      <c r="C36" s="6" t="s">
        <v>607</v>
      </c>
      <c r="D36" s="6" t="s">
        <v>187</v>
      </c>
      <c r="E36" s="24">
        <v>53</v>
      </c>
      <c r="F36" s="24" t="s">
        <v>104</v>
      </c>
      <c r="G36" s="24" t="s">
        <v>541</v>
      </c>
      <c r="H36" s="6" t="s">
        <v>110</v>
      </c>
      <c r="I36" s="24" t="s">
        <v>107</v>
      </c>
      <c r="J36" s="6" t="s">
        <v>608</v>
      </c>
      <c r="K36" s="24">
        <v>55</v>
      </c>
      <c r="L36" s="25"/>
    </row>
    <row r="37" spans="1:12" ht="15" customHeight="1" x14ac:dyDescent="0.55000000000000004">
      <c r="A37" s="11">
        <v>34</v>
      </c>
      <c r="B37" s="11">
        <v>24</v>
      </c>
      <c r="C37" s="3" t="s">
        <v>609</v>
      </c>
      <c r="D37" s="3" t="s">
        <v>187</v>
      </c>
      <c r="E37" s="11">
        <v>42</v>
      </c>
      <c r="F37" s="11" t="s">
        <v>104</v>
      </c>
      <c r="G37" s="11" t="s">
        <v>202</v>
      </c>
      <c r="H37" s="3" t="s">
        <v>372</v>
      </c>
      <c r="I37" s="11" t="s">
        <v>107</v>
      </c>
      <c r="J37" s="3" t="s">
        <v>610</v>
      </c>
      <c r="K37" s="11">
        <v>55</v>
      </c>
      <c r="L37" s="12"/>
    </row>
    <row r="38" spans="1:12" ht="15" customHeight="1" x14ac:dyDescent="0.55000000000000004">
      <c r="A38" s="24">
        <v>35</v>
      </c>
      <c r="B38" s="24">
        <v>15</v>
      </c>
      <c r="C38" s="6" t="s">
        <v>611</v>
      </c>
      <c r="D38" s="6" t="s">
        <v>187</v>
      </c>
      <c r="E38" s="24">
        <v>49</v>
      </c>
      <c r="F38" s="24" t="s">
        <v>104</v>
      </c>
      <c r="G38" s="24" t="s">
        <v>541</v>
      </c>
      <c r="H38" s="6" t="s">
        <v>350</v>
      </c>
      <c r="I38" s="24" t="s">
        <v>206</v>
      </c>
      <c r="J38" s="6" t="s">
        <v>612</v>
      </c>
      <c r="K38" s="24">
        <v>48</v>
      </c>
      <c r="L38" s="25"/>
    </row>
    <row r="39" spans="1:12" ht="15" customHeight="1" x14ac:dyDescent="0.55000000000000004">
      <c r="A39" s="11">
        <v>36</v>
      </c>
      <c r="B39" s="11">
        <v>3</v>
      </c>
      <c r="C39" s="3" t="s">
        <v>613</v>
      </c>
      <c r="D39" s="3" t="s">
        <v>187</v>
      </c>
      <c r="E39" s="11">
        <v>49</v>
      </c>
      <c r="F39" s="11" t="s">
        <v>104</v>
      </c>
      <c r="G39" s="11" t="s">
        <v>541</v>
      </c>
      <c r="H39" s="3" t="s">
        <v>143</v>
      </c>
      <c r="I39" s="11" t="s">
        <v>107</v>
      </c>
      <c r="J39" s="3" t="s">
        <v>614</v>
      </c>
      <c r="K39" s="11">
        <v>60</v>
      </c>
      <c r="L39" s="12"/>
    </row>
    <row r="40" spans="1:12" ht="15" customHeight="1" x14ac:dyDescent="0.55000000000000004">
      <c r="A40" s="24"/>
      <c r="B40" s="24"/>
      <c r="C40" s="6"/>
      <c r="D40" s="6"/>
      <c r="E40" s="24"/>
      <c r="F40" s="24"/>
      <c r="G40" s="24"/>
      <c r="H40" s="6"/>
      <c r="I40" s="24"/>
      <c r="J40" s="6"/>
      <c r="K40" s="24"/>
      <c r="L40" s="25"/>
    </row>
    <row r="41" spans="1:12" ht="15" customHeight="1" x14ac:dyDescent="0.55000000000000004">
      <c r="A41" s="11" t="s">
        <v>25</v>
      </c>
      <c r="B41" s="11"/>
      <c r="C41" s="3"/>
      <c r="D41" s="3"/>
      <c r="E41" s="11"/>
      <c r="F41" s="11"/>
      <c r="G41" s="11"/>
      <c r="H41" s="3"/>
      <c r="I41" s="11"/>
      <c r="J41" s="3"/>
      <c r="K41" s="11"/>
      <c r="L41" s="12"/>
    </row>
    <row r="42" spans="1:12" ht="15" customHeight="1" x14ac:dyDescent="0.55000000000000004">
      <c r="A42" s="24" t="s">
        <v>268</v>
      </c>
      <c r="B42" s="24"/>
      <c r="C42" s="6"/>
      <c r="D42" s="6"/>
      <c r="E42" s="24"/>
      <c r="F42" s="24"/>
      <c r="G42" s="24"/>
      <c r="H42" s="6"/>
      <c r="I42" s="24"/>
      <c r="J42" s="6"/>
      <c r="K42" s="24"/>
      <c r="L42" s="25"/>
    </row>
    <row r="43" spans="1:12" ht="15" customHeight="1" x14ac:dyDescent="0.55000000000000004">
      <c r="A43" s="11" t="s">
        <v>615</v>
      </c>
      <c r="B43" s="11"/>
      <c r="C43" s="3"/>
      <c r="D43" s="3"/>
      <c r="E43" s="11"/>
      <c r="F43" s="11"/>
      <c r="G43" s="11"/>
      <c r="H43" s="3"/>
      <c r="I43" s="11"/>
      <c r="J43" s="3"/>
      <c r="K43" s="11"/>
      <c r="L43" s="12"/>
    </row>
    <row r="44" spans="1:12" ht="15" customHeight="1" x14ac:dyDescent="0.55000000000000004">
      <c r="A44" s="24" t="s">
        <v>616</v>
      </c>
      <c r="B44" s="24"/>
      <c r="C44" s="6"/>
      <c r="D44" s="6"/>
      <c r="E44" s="24"/>
      <c r="F44" s="24"/>
      <c r="G44" s="24"/>
      <c r="H44" s="6"/>
      <c r="I44" s="24"/>
      <c r="J44" s="6"/>
      <c r="K44" s="24"/>
      <c r="L44" s="25"/>
    </row>
    <row r="45" spans="1:12" ht="15" customHeight="1" x14ac:dyDescent="0.55000000000000004">
      <c r="A45" s="11" t="s">
        <v>264</v>
      </c>
      <c r="B45" s="11"/>
      <c r="C45" s="3"/>
      <c r="D45" s="3"/>
      <c r="E45" s="11"/>
      <c r="F45" s="11"/>
      <c r="G45" s="11"/>
      <c r="H45" s="3"/>
      <c r="I45" s="11"/>
      <c r="J45" s="3"/>
      <c r="K45" s="11"/>
      <c r="L45" s="12"/>
    </row>
    <row r="47" spans="1:12" ht="15" customHeight="1" x14ac:dyDescent="0.55000000000000004">
      <c r="A47" s="9" t="s">
        <v>25</v>
      </c>
    </row>
    <row r="48" spans="1:12" ht="27.75" customHeight="1" x14ac:dyDescent="0.55000000000000004">
      <c r="A48" s="44" t="s">
        <v>268</v>
      </c>
      <c r="B48" s="43"/>
      <c r="C48" s="43"/>
      <c r="D48" s="43"/>
      <c r="E48" s="43"/>
      <c r="F48" s="43"/>
      <c r="G48" s="43"/>
      <c r="H48" s="43"/>
      <c r="I48" s="43"/>
      <c r="J48" s="43"/>
      <c r="K48" s="43"/>
      <c r="L48" s="43"/>
    </row>
    <row r="49" spans="1:12" ht="27.75" customHeight="1" x14ac:dyDescent="0.55000000000000004">
      <c r="A49" s="44" t="s">
        <v>615</v>
      </c>
      <c r="B49" s="43"/>
      <c r="C49" s="43"/>
      <c r="D49" s="43"/>
      <c r="E49" s="43"/>
      <c r="F49" s="43"/>
      <c r="G49" s="43"/>
      <c r="H49" s="43"/>
      <c r="I49" s="43"/>
      <c r="J49" s="43"/>
      <c r="K49" s="43"/>
      <c r="L49" s="43"/>
    </row>
    <row r="50" spans="1:12" ht="27.75" customHeight="1" x14ac:dyDescent="0.55000000000000004">
      <c r="A50" s="44" t="s">
        <v>616</v>
      </c>
      <c r="B50" s="43"/>
      <c r="C50" s="43"/>
      <c r="D50" s="43"/>
      <c r="E50" s="43"/>
      <c r="F50" s="43"/>
      <c r="G50" s="43"/>
      <c r="H50" s="43"/>
      <c r="I50" s="43"/>
      <c r="J50" s="43"/>
      <c r="K50" s="43"/>
      <c r="L50" s="43"/>
    </row>
    <row r="51" spans="1:12" ht="27.75" customHeight="1" x14ac:dyDescent="0.55000000000000004">
      <c r="A51" s="44" t="s">
        <v>264</v>
      </c>
      <c r="B51" s="43"/>
      <c r="C51" s="43"/>
      <c r="D51" s="43"/>
      <c r="E51" s="43"/>
      <c r="F51" s="43"/>
      <c r="G51" s="43"/>
      <c r="H51" s="43"/>
      <c r="I51" s="43"/>
      <c r="J51" s="43"/>
      <c r="K51" s="43"/>
      <c r="L51" s="43"/>
    </row>
  </sheetData>
  <mergeCells count="6">
    <mergeCell ref="A2:L2"/>
    <mergeCell ref="A51:L51"/>
    <mergeCell ref="A49:L49"/>
    <mergeCell ref="A1:L1"/>
    <mergeCell ref="A50:L50"/>
    <mergeCell ref="A48:L48"/>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33"/>
  <sheetViews>
    <sheetView zoomScaleNormal="100" workbookViewId="0">
      <selection sqref="A1:D1"/>
    </sheetView>
  </sheetViews>
  <sheetFormatPr defaultColWidth="8.68359375" defaultRowHeight="14.4" x14ac:dyDescent="0.55000000000000004"/>
  <cols>
    <col min="1" max="1" width="46" customWidth="1"/>
    <col min="2" max="2" width="14" customWidth="1"/>
  </cols>
  <sheetData>
    <row r="1" spans="1:4" ht="17.350000000000001" customHeight="1" x14ac:dyDescent="0.6">
      <c r="A1" s="54" t="s">
        <v>617</v>
      </c>
      <c r="B1" s="43"/>
      <c r="C1" s="43"/>
      <c r="D1" s="43"/>
    </row>
    <row r="3" spans="1:4" ht="15" customHeight="1" x14ac:dyDescent="0.55000000000000004">
      <c r="A3" s="26" t="s">
        <v>7</v>
      </c>
      <c r="B3" s="27">
        <f>COUNTA('1950 Servants'!$C$5:$C$39)</f>
        <v>35</v>
      </c>
    </row>
    <row r="5" spans="1:4" ht="15" customHeight="1" x14ac:dyDescent="0.55000000000000004">
      <c r="A5" s="26" t="s">
        <v>274</v>
      </c>
    </row>
    <row r="6" spans="1:4" ht="15" customHeight="1" x14ac:dyDescent="0.55000000000000004">
      <c r="A6" s="27" t="s">
        <v>107</v>
      </c>
      <c r="B6" s="27">
        <f>COUNTIF('1950 Servants'!$I$5:$I$39,"White")</f>
        <v>26</v>
      </c>
    </row>
    <row r="7" spans="1:4" ht="15" customHeight="1" x14ac:dyDescent="0.55000000000000004">
      <c r="A7" s="27" t="s">
        <v>206</v>
      </c>
      <c r="B7" s="27">
        <f>COUNTIF('1950 Servants'!$I$5:$I$39,"Black")</f>
        <v>9</v>
      </c>
    </row>
    <row r="9" spans="1:4" ht="15" customHeight="1" x14ac:dyDescent="0.55000000000000004">
      <c r="A9" s="26" t="s">
        <v>275</v>
      </c>
    </row>
    <row r="10" spans="1:4" ht="15" customHeight="1" x14ac:dyDescent="0.55000000000000004">
      <c r="A10" s="27" t="s">
        <v>618</v>
      </c>
      <c r="B10" s="27">
        <f>COUNTIF('1950 Servants'!$G$5:$G$39,"Nev")</f>
        <v>22</v>
      </c>
    </row>
    <row r="11" spans="1:4" ht="15" customHeight="1" x14ac:dyDescent="0.55000000000000004">
      <c r="A11" s="27" t="s">
        <v>277</v>
      </c>
      <c r="B11" s="27">
        <f>COUNTIF('1950 Servants'!$G$5:$G$39,"Wd")</f>
        <v>7</v>
      </c>
    </row>
    <row r="12" spans="1:4" ht="15" customHeight="1" x14ac:dyDescent="0.55000000000000004">
      <c r="A12" s="27" t="s">
        <v>619</v>
      </c>
      <c r="B12" s="27">
        <f>COUNTIF('1950 Servants'!$G$5:$G$39,"Sep")</f>
        <v>4</v>
      </c>
    </row>
    <row r="13" spans="1:4" ht="15" customHeight="1" x14ac:dyDescent="0.55000000000000004">
      <c r="A13" s="27" t="s">
        <v>532</v>
      </c>
      <c r="B13" s="27">
        <f>COUNTIF('1950 Servants'!$G$5:$G$39,"D")</f>
        <v>1</v>
      </c>
    </row>
    <row r="14" spans="1:4" ht="15" customHeight="1" x14ac:dyDescent="0.55000000000000004">
      <c r="A14" s="27" t="s">
        <v>278</v>
      </c>
      <c r="B14" s="27">
        <f>COUNTIF('1950 Servants'!$G$5:$G$39,"Mar")</f>
        <v>1</v>
      </c>
    </row>
    <row r="16" spans="1:4" ht="15" customHeight="1" x14ac:dyDescent="0.55000000000000004">
      <c r="A16" s="26" t="s">
        <v>279</v>
      </c>
    </row>
    <row r="17" spans="1:2" ht="15" customHeight="1" x14ac:dyDescent="0.55000000000000004">
      <c r="A17" s="27" t="s">
        <v>280</v>
      </c>
      <c r="B17" s="27">
        <f>COUNTIF('1950 Servants'!$H$5:$H$39,"New York")+COUNTIF('1950 Servants'!$H$5:$H$39,"Massachusetts")+COUNTIF('1950 Servants'!$H$5:$H$39,"New Jersey")+COUNTIF('1950 Servants'!$H$5:$H$39,"Virginia")+COUNTIF('1950 Servants'!$H$5:$H$39,"South Carolina")+COUNTIF('1950 Servants'!$H$5:$H$39,"North Carolina")+COUNTIF('1950 Servants'!$H$5:$H$39,"Georgia")+COUNTIF('1950 Servants'!$H$5:$H$39,"Pennsylvania")+COUNTIF('1950 Servants'!$H$5:$H$39,"Minnesota")+COUNTIF('1950 Servants'!$H$5:$H$39,"Louisiana")</f>
        <v>13</v>
      </c>
    </row>
    <row r="18" spans="1:2" ht="15" customHeight="1" x14ac:dyDescent="0.55000000000000004">
      <c r="A18" s="27" t="s">
        <v>281</v>
      </c>
      <c r="B18" s="27">
        <f>B3-B17</f>
        <v>22</v>
      </c>
    </row>
    <row r="20" spans="1:2" ht="15" customHeight="1" x14ac:dyDescent="0.55000000000000004">
      <c r="A20" s="26" t="s">
        <v>282</v>
      </c>
    </row>
    <row r="21" spans="1:2" ht="15" customHeight="1" x14ac:dyDescent="0.55000000000000004">
      <c r="A21" s="27" t="s">
        <v>23</v>
      </c>
      <c r="B21" s="27">
        <f>COUNTIF('1950 Servants'!$D$5:$D$39,"*Maid*")</f>
        <v>20</v>
      </c>
    </row>
    <row r="22" spans="1:2" ht="15" customHeight="1" x14ac:dyDescent="0.55000000000000004">
      <c r="A22" s="27" t="s">
        <v>187</v>
      </c>
      <c r="B22" s="27">
        <f>COUNTIF('1950 Servants'!$D$5:$D$39,"*Domestic*")</f>
        <v>10</v>
      </c>
    </row>
    <row r="23" spans="1:2" ht="15" customHeight="1" x14ac:dyDescent="0.55000000000000004">
      <c r="A23" s="27" t="s">
        <v>151</v>
      </c>
      <c r="B23" s="27">
        <f>COUNTIF('1950 Servants'!$D$5:$D$39,"*Cook*")</f>
        <v>2</v>
      </c>
    </row>
    <row r="24" spans="1:2" ht="15" customHeight="1" x14ac:dyDescent="0.55000000000000004">
      <c r="A24" s="27" t="s">
        <v>22</v>
      </c>
      <c r="B24" s="27">
        <f>COUNTIF('1950 Servants'!$D$5:$D$39,"*Housekeeper*")</f>
        <v>2</v>
      </c>
    </row>
    <row r="25" spans="1:2" ht="15" customHeight="1" x14ac:dyDescent="0.55000000000000004">
      <c r="A25" s="27" t="s">
        <v>341</v>
      </c>
      <c r="B25" s="27">
        <f>COUNTIF('1950 Servants'!$D$5:$D$39,"*Housework*")</f>
        <v>1</v>
      </c>
    </row>
    <row r="26" spans="1:2" ht="15" customHeight="1" x14ac:dyDescent="0.55000000000000004">
      <c r="A26" s="27" t="s">
        <v>540</v>
      </c>
      <c r="B26" s="27">
        <f>COUNTIF('1950 Servants'!$D$5:$D$39,"*General Maid*")</f>
        <v>1</v>
      </c>
    </row>
    <row r="27" spans="1:2" ht="15" customHeight="1" x14ac:dyDescent="0.55000000000000004">
      <c r="A27" s="27" t="s">
        <v>552</v>
      </c>
      <c r="B27" s="27">
        <f>COUNTIF('1950 Servants'!$D$5:$D$39,"*Baby Nurse*")</f>
        <v>1</v>
      </c>
    </row>
    <row r="28" spans="1:2" ht="15" customHeight="1" x14ac:dyDescent="0.55000000000000004">
      <c r="A28" s="27" t="s">
        <v>580</v>
      </c>
      <c r="B28" s="27">
        <f>COUNTIF('1950 Servants'!$D$5:$D$39,"*Nursemaid (Child)*")</f>
        <v>1</v>
      </c>
    </row>
    <row r="30" spans="1:2" ht="15" customHeight="1" x14ac:dyDescent="0.55000000000000004">
      <c r="A30" s="26" t="s">
        <v>283</v>
      </c>
      <c r="B30" s="27">
        <f>AVERAGE('1950 Servants'!$E$5:$E$39)</f>
        <v>45.142857142857146</v>
      </c>
    </row>
    <row r="31" spans="1:2" ht="15" customHeight="1" x14ac:dyDescent="0.55000000000000004">
      <c r="A31" s="26" t="s">
        <v>284</v>
      </c>
      <c r="B31" s="27">
        <f>MEDIAN('1950 Servants'!$E$5:$E$39)</f>
        <v>45</v>
      </c>
    </row>
    <row r="33" spans="1:6" ht="27.75" customHeight="1" x14ac:dyDescent="0.55000000000000004">
      <c r="A33" s="51" t="s">
        <v>620</v>
      </c>
      <c r="B33" s="52"/>
      <c r="C33" s="52"/>
      <c r="D33" s="52"/>
      <c r="E33" s="52"/>
      <c r="F33" s="53"/>
    </row>
  </sheetData>
  <mergeCells count="2">
    <mergeCell ref="A1:D1"/>
    <mergeCell ref="A33:F33"/>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Cross-Decade Comparison</vt:lpstr>
      <vt:lpstr>Top Households</vt:lpstr>
      <vt:lpstr>1930 Servants</vt:lpstr>
      <vt:lpstr>1930 Summary</vt:lpstr>
      <vt:lpstr>1940 Servants</vt:lpstr>
      <vt:lpstr>1940 Summary</vt:lpstr>
      <vt:lpstr>1950 Servants</vt:lpstr>
      <vt:lpstr>1950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Copy editor</cp:lastModifiedBy>
  <cp:revision>0</cp:revision>
  <dcterms:created xsi:type="dcterms:W3CDTF">2026-09-01T18:06:27Z</dcterms:created>
  <dcterms:modified xsi:type="dcterms:W3CDTF">2026-09-04T13:27:00Z</dcterms:modified>
  <dc:language>en-US</dc:language>
</cp:coreProperties>
</file>